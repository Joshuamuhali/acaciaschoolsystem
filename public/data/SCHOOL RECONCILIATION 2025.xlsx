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ckson Zulu\OneDrive\Desktop\CHILUFYA\"/>
    </mc:Choice>
  </mc:AlternateContent>
  <xr:revisionPtr revIDLastSave="0" documentId="13_ncr:1_{C742EF8C-8ADB-4967-9CDE-B71EF4293D5F}" xr6:coauthVersionLast="47" xr6:coauthVersionMax="47" xr10:uidLastSave="{00000000-0000-0000-0000-000000000000}"/>
  <bookViews>
    <workbookView xWindow="-110" yWindow="-110" windowWidth="19420" windowHeight="10300" firstSheet="1" activeTab="1" xr2:uid="{198C2FDD-E7B7-4D02-8DDC-0ABE7C672FCD}"/>
  </bookViews>
  <sheets>
    <sheet name="THIRD TERM 2025" sheetId="1" r:id="rId1"/>
    <sheet name="TERM 1 2026 OTHER FEES" sheetId="4" r:id="rId2"/>
    <sheet name="TERM 1 2026" sheetId="3" r:id="rId3"/>
    <sheet name="OWING TERM 3 2025" sheetId="2" r:id="rId4"/>
    <sheet name="OWING TERM 1 2026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4" i="3" l="1"/>
  <c r="F94" i="3"/>
  <c r="E182" i="4"/>
  <c r="I104" i="5"/>
  <c r="L104" i="5"/>
  <c r="E104" i="5"/>
  <c r="F102" i="5"/>
  <c r="O101" i="5"/>
  <c r="O100" i="5"/>
  <c r="O99" i="5"/>
  <c r="O98" i="5"/>
  <c r="O96" i="5"/>
  <c r="O95" i="5"/>
  <c r="O94" i="5"/>
  <c r="O93" i="5"/>
  <c r="F91" i="5"/>
  <c r="O89" i="5"/>
  <c r="O88" i="5"/>
  <c r="O87" i="5"/>
  <c r="O86" i="5"/>
  <c r="O85" i="5"/>
  <c r="O84" i="5"/>
  <c r="F82" i="5"/>
  <c r="O81" i="5"/>
  <c r="O80" i="5"/>
  <c r="O79" i="5"/>
  <c r="O78" i="5"/>
  <c r="F76" i="5"/>
  <c r="O75" i="5"/>
  <c r="O74" i="5"/>
  <c r="O73" i="5"/>
  <c r="O71" i="5"/>
  <c r="O70" i="5"/>
  <c r="F68" i="5"/>
  <c r="O65" i="5"/>
  <c r="O64" i="5"/>
  <c r="O63" i="5"/>
  <c r="O62" i="5"/>
  <c r="O61" i="5"/>
  <c r="O60" i="5"/>
  <c r="O59" i="5"/>
  <c r="O58" i="5"/>
  <c r="O57" i="5"/>
  <c r="O56" i="5"/>
  <c r="F54" i="5"/>
  <c r="O53" i="5"/>
  <c r="O52" i="5"/>
  <c r="O51" i="5"/>
  <c r="O50" i="5"/>
  <c r="O49" i="5"/>
  <c r="F47" i="5"/>
  <c r="O45" i="5"/>
  <c r="O44" i="5"/>
  <c r="O43" i="5"/>
  <c r="O40" i="5"/>
  <c r="O39" i="5"/>
  <c r="O38" i="5"/>
  <c r="O37" i="5"/>
  <c r="O36" i="5"/>
  <c r="O35" i="5"/>
  <c r="O34" i="5"/>
  <c r="F31" i="5"/>
  <c r="O27" i="5"/>
  <c r="O26" i="5"/>
  <c r="O25" i="5"/>
  <c r="O24" i="5"/>
  <c r="O23" i="5"/>
  <c r="O22" i="5"/>
  <c r="O21" i="5"/>
  <c r="O20" i="5"/>
  <c r="O19" i="5"/>
  <c r="O18" i="5"/>
  <c r="O17" i="5"/>
  <c r="O16" i="5"/>
  <c r="F14" i="5"/>
  <c r="O11" i="5"/>
  <c r="O10" i="5"/>
  <c r="O9" i="5"/>
  <c r="O8" i="5"/>
  <c r="O7" i="5"/>
  <c r="F5" i="5"/>
  <c r="O4" i="5"/>
  <c r="F204" i="3"/>
  <c r="F165" i="3"/>
  <c r="F154" i="3"/>
  <c r="E206" i="3"/>
  <c r="O182" i="4"/>
  <c r="Q100" i="4"/>
  <c r="I120" i="4"/>
  <c r="H120" i="4"/>
  <c r="P182" i="4"/>
  <c r="Q167" i="4"/>
  <c r="P167" i="4"/>
  <c r="E167" i="4"/>
  <c r="I167" i="4"/>
  <c r="D100" i="4"/>
  <c r="I182" i="4"/>
  <c r="M182" i="4"/>
  <c r="Q182" i="4"/>
  <c r="M167" i="4"/>
  <c r="I146" i="4"/>
  <c r="P146" i="4"/>
  <c r="Q146" i="4"/>
  <c r="M146" i="4"/>
  <c r="E146" i="4"/>
  <c r="E136" i="4"/>
  <c r="M136" i="4"/>
  <c r="I136" i="4"/>
  <c r="Q136" i="4"/>
  <c r="P120" i="4"/>
  <c r="Q120" i="4"/>
  <c r="L120" i="4"/>
  <c r="M120" i="4"/>
  <c r="E120" i="4"/>
  <c r="E100" i="4"/>
  <c r="H100" i="4"/>
  <c r="L100" i="4"/>
  <c r="M100" i="4"/>
  <c r="I100" i="4"/>
  <c r="L83" i="4"/>
  <c r="M83" i="4"/>
  <c r="P83" i="4"/>
  <c r="Q83" i="4"/>
  <c r="I83" i="4"/>
  <c r="H83" i="4"/>
  <c r="D83" i="4"/>
  <c r="E83" i="4"/>
  <c r="H60" i="4"/>
  <c r="I60" i="4"/>
  <c r="P60" i="4"/>
  <c r="Q60" i="4"/>
  <c r="E60" i="4"/>
  <c r="D60" i="4"/>
  <c r="I35" i="4"/>
  <c r="Q21" i="4"/>
  <c r="Q35" i="4" s="1"/>
  <c r="E35" i="4"/>
  <c r="P35" i="4"/>
  <c r="H35" i="4"/>
  <c r="D35" i="4"/>
  <c r="Q13" i="4"/>
  <c r="I13" i="4"/>
  <c r="P13" i="4"/>
  <c r="P136" i="4"/>
  <c r="D120" i="4"/>
  <c r="L136" i="4"/>
  <c r="H136" i="4"/>
  <c r="D136" i="4"/>
  <c r="L139" i="4"/>
  <c r="L141" i="4"/>
  <c r="H146" i="4"/>
  <c r="D146" i="4"/>
  <c r="L182" i="4"/>
  <c r="H182" i="4"/>
  <c r="D182" i="4"/>
  <c r="K182" i="4"/>
  <c r="G182" i="4"/>
  <c r="C182" i="4"/>
  <c r="D167" i="4"/>
  <c r="H167" i="4"/>
  <c r="L167" i="4"/>
  <c r="O21" i="3"/>
  <c r="D13" i="4"/>
  <c r="E7" i="4"/>
  <c r="E8" i="4"/>
  <c r="E9" i="4"/>
  <c r="E10" i="4"/>
  <c r="E11" i="4"/>
  <c r="E12" i="4"/>
  <c r="E6" i="4"/>
  <c r="E5" i="4"/>
  <c r="H13" i="4"/>
  <c r="F104" i="5" l="1"/>
  <c r="O14" i="5"/>
  <c r="O82" i="5"/>
  <c r="O91" i="5"/>
  <c r="O102" i="5"/>
  <c r="O5" i="5"/>
  <c r="O54" i="5"/>
  <c r="O68" i="5"/>
  <c r="O31" i="5"/>
  <c r="O76" i="5"/>
  <c r="O47" i="5"/>
  <c r="E13" i="4"/>
  <c r="O189" i="3"/>
  <c r="O125" i="3"/>
  <c r="O181" i="3"/>
  <c r="L206" i="3"/>
  <c r="I206" i="3"/>
  <c r="O201" i="3"/>
  <c r="O199" i="3"/>
  <c r="O198" i="3"/>
  <c r="O197" i="3"/>
  <c r="O195" i="3"/>
  <c r="O194" i="3"/>
  <c r="O193" i="3"/>
  <c r="O191" i="3"/>
  <c r="O190" i="3"/>
  <c r="F187" i="3"/>
  <c r="O180" i="3"/>
  <c r="O179" i="3"/>
  <c r="O178" i="3"/>
  <c r="O177" i="3"/>
  <c r="O176" i="3"/>
  <c r="O174" i="3"/>
  <c r="O173" i="3"/>
  <c r="O172" i="3"/>
  <c r="O171" i="3"/>
  <c r="O170" i="3"/>
  <c r="O169" i="3"/>
  <c r="O168" i="3"/>
  <c r="O167" i="3"/>
  <c r="O162" i="3"/>
  <c r="O161" i="3"/>
  <c r="O160" i="3"/>
  <c r="O159" i="3"/>
  <c r="O158" i="3"/>
  <c r="O157" i="3"/>
  <c r="O156" i="3"/>
  <c r="O152" i="3"/>
  <c r="O151" i="3"/>
  <c r="O150" i="3"/>
  <c r="O147" i="3"/>
  <c r="O146" i="3"/>
  <c r="O144" i="3"/>
  <c r="O143" i="3"/>
  <c r="O142" i="3"/>
  <c r="O141" i="3"/>
  <c r="O140" i="3"/>
  <c r="F138" i="3"/>
  <c r="O131" i="3"/>
  <c r="O130" i="3"/>
  <c r="O129" i="3"/>
  <c r="O128" i="3"/>
  <c r="O127" i="3"/>
  <c r="O126" i="3"/>
  <c r="O124" i="3"/>
  <c r="O123" i="3"/>
  <c r="O122" i="3"/>
  <c r="O121" i="3"/>
  <c r="O120" i="3"/>
  <c r="O119" i="3"/>
  <c r="O118" i="3"/>
  <c r="O117" i="3"/>
  <c r="O116" i="3"/>
  <c r="F114" i="3"/>
  <c r="O110" i="3"/>
  <c r="O109" i="3"/>
  <c r="O107" i="3"/>
  <c r="O105" i="3"/>
  <c r="O104" i="3"/>
  <c r="O103" i="3"/>
  <c r="O102" i="3"/>
  <c r="O101" i="3"/>
  <c r="O100" i="3"/>
  <c r="O99" i="3"/>
  <c r="O98" i="3"/>
  <c r="O97" i="3"/>
  <c r="O96" i="3"/>
  <c r="O89" i="3"/>
  <c r="O88" i="3"/>
  <c r="O87" i="3"/>
  <c r="O83" i="3"/>
  <c r="O82" i="3"/>
  <c r="O81" i="3"/>
  <c r="O80" i="3"/>
  <c r="O79" i="3"/>
  <c r="O78" i="3"/>
  <c r="O75" i="3"/>
  <c r="O74" i="3"/>
  <c r="O72" i="3"/>
  <c r="O71" i="3"/>
  <c r="F68" i="3"/>
  <c r="O61" i="3"/>
  <c r="O59" i="3"/>
  <c r="O58" i="3"/>
  <c r="O57" i="3"/>
  <c r="O56" i="3"/>
  <c r="O54" i="3"/>
  <c r="O53" i="3"/>
  <c r="O52" i="3"/>
  <c r="O51" i="3"/>
  <c r="O50" i="3"/>
  <c r="O49" i="3"/>
  <c r="O48" i="3"/>
  <c r="O47" i="3"/>
  <c r="O46" i="3"/>
  <c r="O45" i="3"/>
  <c r="O44" i="3"/>
  <c r="F42" i="3"/>
  <c r="O38" i="3"/>
  <c r="O33" i="3"/>
  <c r="O32" i="3"/>
  <c r="O30" i="3"/>
  <c r="O29" i="3"/>
  <c r="O28" i="3"/>
  <c r="O27" i="3"/>
  <c r="O25" i="3"/>
  <c r="O23" i="3"/>
  <c r="O22" i="3"/>
  <c r="F19" i="3"/>
  <c r="O15" i="3"/>
  <c r="O14" i="3"/>
  <c r="O12" i="3"/>
  <c r="O11" i="3"/>
  <c r="O9" i="3"/>
  <c r="O204" i="3" l="1"/>
  <c r="O104" i="5"/>
  <c r="F206" i="3"/>
  <c r="O94" i="3"/>
  <c r="O42" i="3"/>
  <c r="O19" i="3"/>
  <c r="O68" i="3"/>
  <c r="O114" i="3"/>
  <c r="O187" i="3"/>
  <c r="O138" i="3"/>
  <c r="O165" i="3"/>
  <c r="O154" i="3"/>
  <c r="I230" i="1"/>
  <c r="G230" i="1"/>
  <c r="K99" i="1"/>
  <c r="K101" i="1"/>
  <c r="K47" i="2"/>
  <c r="K46" i="2"/>
  <c r="K45" i="2"/>
  <c r="K44" i="2"/>
  <c r="K43" i="2"/>
  <c r="K32" i="2"/>
  <c r="K29" i="2"/>
  <c r="K27" i="2"/>
  <c r="K26" i="2"/>
  <c r="K25" i="2"/>
  <c r="K24" i="2"/>
  <c r="K18" i="2"/>
  <c r="K17" i="2"/>
  <c r="E48" i="2"/>
  <c r="K15" i="2"/>
  <c r="K11" i="2"/>
  <c r="K10" i="2"/>
  <c r="K6" i="2"/>
  <c r="K5" i="2"/>
  <c r="K2" i="2"/>
  <c r="K1" i="2"/>
  <c r="E228" i="1"/>
  <c r="E205" i="1"/>
  <c r="E185" i="1"/>
  <c r="E163" i="1"/>
  <c r="E147" i="1"/>
  <c r="E124" i="1"/>
  <c r="E104" i="1"/>
  <c r="E84" i="1"/>
  <c r="E60" i="1"/>
  <c r="E30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9" i="1"/>
  <c r="K50" i="1"/>
  <c r="K52" i="1"/>
  <c r="K53" i="1"/>
  <c r="K54" i="1"/>
  <c r="K55" i="1"/>
  <c r="K56" i="1"/>
  <c r="K57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6" i="1"/>
  <c r="K87" i="1"/>
  <c r="K88" i="1"/>
  <c r="K90" i="1"/>
  <c r="K91" i="1"/>
  <c r="K92" i="1"/>
  <c r="K93" i="1"/>
  <c r="K94" i="1"/>
  <c r="K95" i="1"/>
  <c r="K96" i="1"/>
  <c r="K97" i="1"/>
  <c r="K98" i="1"/>
  <c r="K100" i="1"/>
  <c r="K102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7" i="1"/>
  <c r="K208" i="1"/>
  <c r="K209" i="1"/>
  <c r="K210" i="1"/>
  <c r="K211" i="1"/>
  <c r="K212" i="1"/>
  <c r="K213" i="1"/>
  <c r="K214" i="1"/>
  <c r="K215" i="1"/>
  <c r="K216" i="1"/>
  <c r="K218" i="1"/>
  <c r="K219" i="1"/>
  <c r="K220" i="1"/>
  <c r="K221" i="1"/>
  <c r="K222" i="1"/>
  <c r="K223" i="1"/>
  <c r="K224" i="1"/>
  <c r="K225" i="1"/>
  <c r="K226" i="1"/>
  <c r="K32" i="1"/>
  <c r="K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9" i="1"/>
  <c r="K33" i="1"/>
  <c r="A28" i="1"/>
  <c r="A29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K11" i="1"/>
  <c r="O206" i="3" l="1"/>
  <c r="K37" i="2"/>
  <c r="K3" i="2"/>
  <c r="K34" i="2"/>
  <c r="K41" i="2"/>
  <c r="K8" i="2"/>
  <c r="K30" i="2"/>
  <c r="K13" i="2"/>
  <c r="K48" i="2"/>
  <c r="K21" i="2"/>
  <c r="K60" i="1"/>
  <c r="K185" i="1"/>
  <c r="K147" i="1"/>
  <c r="K163" i="1"/>
  <c r="K30" i="1"/>
  <c r="K228" i="1"/>
  <c r="K124" i="1"/>
  <c r="K104" i="1"/>
  <c r="K84" i="1"/>
  <c r="K205" i="1"/>
  <c r="E230" i="1"/>
  <c r="K230" i="1" l="1"/>
  <c r="N230" i="1" s="1"/>
</calcChain>
</file>

<file path=xl/sharedStrings.xml><?xml version="1.0" encoding="utf-8"?>
<sst xmlns="http://schemas.openxmlformats.org/spreadsheetml/2006/main" count="1869" uniqueCount="452">
  <si>
    <t>Total amount</t>
  </si>
  <si>
    <t>No. of Pupils</t>
  </si>
  <si>
    <t>Female</t>
  </si>
  <si>
    <t>Male</t>
  </si>
  <si>
    <t>paid in full</t>
  </si>
  <si>
    <t>With Balance</t>
  </si>
  <si>
    <t xml:space="preserve">Not Paid </t>
  </si>
  <si>
    <t>Total Enrolled</t>
  </si>
  <si>
    <t>Full Name of Pupil</t>
  </si>
  <si>
    <t>Sex</t>
  </si>
  <si>
    <t>Old or New</t>
  </si>
  <si>
    <t>First Installment</t>
  </si>
  <si>
    <t>Second Installment</t>
  </si>
  <si>
    <t>Third Installment</t>
  </si>
  <si>
    <t>Balance</t>
  </si>
  <si>
    <t>Other</t>
  </si>
  <si>
    <t xml:space="preserve">Comment </t>
  </si>
  <si>
    <t>Amount</t>
  </si>
  <si>
    <t>Date Paid</t>
  </si>
  <si>
    <t>Date</t>
  </si>
  <si>
    <t>F</t>
  </si>
  <si>
    <t>N</t>
  </si>
  <si>
    <t>M</t>
  </si>
  <si>
    <t>BABY CLASS</t>
  </si>
  <si>
    <t>MIDDLE CLASS</t>
  </si>
  <si>
    <t>RECEPTION</t>
  </si>
  <si>
    <t>GRADE 1</t>
  </si>
  <si>
    <t>GRADE 2</t>
  </si>
  <si>
    <t>GRADE 3</t>
  </si>
  <si>
    <t>GRADE 4</t>
  </si>
  <si>
    <t>GRADE 5</t>
  </si>
  <si>
    <t>GRADE 6</t>
  </si>
  <si>
    <t>GRADE 7</t>
  </si>
  <si>
    <t>BAMBALA MUKUNDI</t>
  </si>
  <si>
    <t xml:space="preserve">BWALYA JAMAR </t>
  </si>
  <si>
    <t xml:space="preserve">DAKA JEMIMAH </t>
  </si>
  <si>
    <t>HACHAMBA LUSHOMO</t>
  </si>
  <si>
    <t>IMANI MALAIKA KAMULEGEYA</t>
  </si>
  <si>
    <t>Receipt No.</t>
  </si>
  <si>
    <t xml:space="preserve">MAY MARISSA </t>
  </si>
  <si>
    <t>MWEWA NKUMBU</t>
  </si>
  <si>
    <t xml:space="preserve">MOONDE CARISSA </t>
  </si>
  <si>
    <t xml:space="preserve">PHIRI SHEKAINAH </t>
  </si>
  <si>
    <t xml:space="preserve">MWENYA BLESSING </t>
  </si>
  <si>
    <t>THINDWA JANE</t>
  </si>
  <si>
    <t xml:space="preserve">CHIBUYE MATHAN </t>
  </si>
  <si>
    <t>BWALYA WAMPA</t>
  </si>
  <si>
    <t>MUNSAKA MALUBA</t>
  </si>
  <si>
    <t>MWASANGA  IPYANA</t>
  </si>
  <si>
    <t>SAMWIKA  ISREAL</t>
  </si>
  <si>
    <t>11/09/2025</t>
  </si>
  <si>
    <t>STAFF</t>
  </si>
  <si>
    <t>MULUMBI MAPALO JOEL</t>
  </si>
  <si>
    <t>MARTHA MTONGA</t>
  </si>
  <si>
    <t>O</t>
  </si>
  <si>
    <t>31/08/2025</t>
  </si>
  <si>
    <t>ISABELA  BANDA</t>
  </si>
  <si>
    <t>TWAMBO HACHILENSE</t>
  </si>
  <si>
    <t>01/09/2025</t>
  </si>
  <si>
    <t>NAVID LIFUMBELA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</si>
  <si>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</si>
  <si>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</si>
  <si>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</si>
  <si>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</si>
  <si>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</si>
  <si>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</si>
  <si>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</si>
  <si>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</si>
  <si>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NAVILE   LIFUMBELA</t>
  </si>
  <si>
    <t>GIFT  TEMBO</t>
  </si>
  <si>
    <t>JEDIADAH  TEMBO</t>
  </si>
  <si>
    <t xml:space="preserve">FUMBANI MPANDE </t>
  </si>
  <si>
    <t>KAROMAZONDO WEZI</t>
  </si>
  <si>
    <t>KAMANGA ONGANI</t>
  </si>
  <si>
    <t>MANTANGA NKISU</t>
  </si>
  <si>
    <t>MILSTEAD CHRISTANO</t>
  </si>
  <si>
    <t>MPANDE KUZIPA</t>
  </si>
  <si>
    <t>MWAPE ANDIHILE</t>
  </si>
  <si>
    <t>MUSHAYABANU  BARNABAS</t>
  </si>
  <si>
    <t>HENDRIX  MULENGA</t>
  </si>
  <si>
    <t>MUFWAYA  KAILA</t>
  </si>
  <si>
    <t>LIMPO  NALISHUWA</t>
  </si>
  <si>
    <t>CHIPANDA  CLARA</t>
  </si>
  <si>
    <t xml:space="preserve">CHULU IZUKANJI </t>
  </si>
  <si>
    <t>KANISHA DEBORAH</t>
  </si>
  <si>
    <t>MIYOBA REBECCA</t>
  </si>
  <si>
    <t xml:space="preserve">MKANDAWIRE BRYANA </t>
  </si>
  <si>
    <t>MUTEMGA MUTINTA</t>
  </si>
  <si>
    <t>HABANJI LUYANDO</t>
  </si>
  <si>
    <t>PHIRI ATTALIA</t>
  </si>
  <si>
    <t>LILATO  SIKAPA</t>
  </si>
  <si>
    <t>PHIRI TAONGA</t>
  </si>
  <si>
    <t xml:space="preserve">MWENYA MAUREEN </t>
  </si>
  <si>
    <t>KALOMBO THELMA</t>
  </si>
  <si>
    <t>SAKALA  MERCY</t>
  </si>
  <si>
    <t>RUTH CHIBUYE</t>
  </si>
  <si>
    <t>NGAMBI PRINCESS</t>
  </si>
  <si>
    <t>NOTULU LIMPO</t>
  </si>
  <si>
    <t>CHUMBWALUWE  RENISIA</t>
  </si>
  <si>
    <t>NAMFUKWE SHAWNA</t>
  </si>
  <si>
    <t xml:space="preserve">KABAMBA SHEKINAH </t>
  </si>
  <si>
    <t>SIKALINDA  CHIPENGO</t>
  </si>
  <si>
    <t xml:space="preserve">MWANZA YAMIKANI </t>
  </si>
  <si>
    <t>FILABA EDMARK</t>
  </si>
  <si>
    <t>MILSTEAD  ALEXANDRE</t>
  </si>
  <si>
    <t>MWILA CHISUNGUSHO</t>
  </si>
  <si>
    <t xml:space="preserve">MWILWA ROMAN </t>
  </si>
  <si>
    <t>MUSAMBA  EMMANUEL</t>
  </si>
  <si>
    <t>RHODA TEMBO</t>
  </si>
  <si>
    <t>THERESA PHIRI</t>
  </si>
  <si>
    <t xml:space="preserve">MAYAMIKO MUSHANGA </t>
  </si>
  <si>
    <t xml:space="preserve">MARY KALIMA </t>
  </si>
  <si>
    <t xml:space="preserve">GRACE KALIMA </t>
  </si>
  <si>
    <t>JEMAIMA KAMPAMBA</t>
  </si>
  <si>
    <t>JOSHUA KAMPAMBA</t>
  </si>
  <si>
    <t>SOLOMON MWANZA</t>
  </si>
  <si>
    <t>19/09/2025</t>
  </si>
  <si>
    <t>NATASHA BAMBALA</t>
  </si>
  <si>
    <t>RYAN CHILONDELA</t>
  </si>
  <si>
    <t>LISELI NOTULU</t>
  </si>
  <si>
    <t>ROBERT CHISAMBA</t>
  </si>
  <si>
    <t>GRACE JERE</t>
  </si>
  <si>
    <t>ISRAEL JERE</t>
  </si>
  <si>
    <t>ESTHER ZULU</t>
  </si>
  <si>
    <t>BRIAN TEMBO</t>
  </si>
  <si>
    <t>DANIEL SAKALA</t>
  </si>
  <si>
    <t>AIDEN CHIRWA</t>
  </si>
  <si>
    <t>GRACE TEMBO</t>
  </si>
  <si>
    <t>MBOYOTI NSAMA</t>
  </si>
  <si>
    <t>ETHAN MAY</t>
  </si>
  <si>
    <t>CHELSEA JOYCE SCHULTS</t>
  </si>
  <si>
    <t>12/09/2025</t>
  </si>
  <si>
    <t>PATRICK SAKALA</t>
  </si>
  <si>
    <t>FAITH ZULU</t>
  </si>
  <si>
    <t>KATEI TRIZA</t>
  </si>
  <si>
    <t>ABRAHAM PITO</t>
  </si>
  <si>
    <t>13/09/2025</t>
  </si>
  <si>
    <t>NATHAN MWENDELA</t>
  </si>
  <si>
    <t>NANDIPA BANDA</t>
  </si>
  <si>
    <t>4/09/2025</t>
  </si>
  <si>
    <t>ABIGAIL MUKELA</t>
  </si>
  <si>
    <t>15/09/2025</t>
  </si>
  <si>
    <t>MIRABEL  MUPANGO</t>
  </si>
  <si>
    <t>DEBBIE MUPANGO</t>
  </si>
  <si>
    <t>BRIGHT KABASO</t>
  </si>
  <si>
    <t xml:space="preserve">TRINITY SIMWANZA </t>
  </si>
  <si>
    <t>MIRRIAM  PHIRI</t>
  </si>
  <si>
    <t>16/09/2025</t>
  </si>
  <si>
    <t>TATENDA M MWANZA</t>
  </si>
  <si>
    <t>17/09/2025</t>
  </si>
  <si>
    <t>16./09/2025</t>
  </si>
  <si>
    <t>SAMUEL KANISHA</t>
  </si>
  <si>
    <t xml:space="preserve">LIFWATILA ENERST </t>
  </si>
  <si>
    <t xml:space="preserve">WALTON SEMANI </t>
  </si>
  <si>
    <t>WHYNESS SEMANI</t>
  </si>
  <si>
    <t>GINNA  MWASAGA</t>
  </si>
  <si>
    <t>ATUPELE MWASAGA</t>
  </si>
  <si>
    <t>MWANSA EMMANUEL</t>
  </si>
  <si>
    <t xml:space="preserve">SARAH PHIRI </t>
  </si>
  <si>
    <t>5% DISCOUNT</t>
  </si>
  <si>
    <t>10%DISCOUNT</t>
  </si>
  <si>
    <t>CHEWE  KALENGA</t>
  </si>
  <si>
    <t>CHANDA TINOTENDA</t>
  </si>
  <si>
    <t>MWEEMBA MUCHIMBA</t>
  </si>
  <si>
    <t>MAKASA RYAN</t>
  </si>
  <si>
    <t>MWANZA GIFT</t>
  </si>
  <si>
    <t>NYEMBA MWANDWE</t>
  </si>
  <si>
    <t>SIMFUKWE  SHYANE</t>
  </si>
  <si>
    <t xml:space="preserve">SIALUMBA  ALAM </t>
  </si>
  <si>
    <t>NATHAN KALAI</t>
  </si>
  <si>
    <t>KASONGO ROSE</t>
  </si>
  <si>
    <t>SIALUMBA  WINNIE</t>
  </si>
  <si>
    <t>CHIBUYA MICHELLE</t>
  </si>
  <si>
    <t>MIYOBA CHRISTINE</t>
  </si>
  <si>
    <t>MULUMBI  JEMIMAH</t>
  </si>
  <si>
    <t>PATIENCE  KAWEWE</t>
  </si>
  <si>
    <t>FILABA KATE</t>
  </si>
  <si>
    <t>SIKALINDA CHOOLWE</t>
  </si>
  <si>
    <t>JOSHUA KASUBA PHIRI</t>
  </si>
  <si>
    <t>20/09/2025</t>
  </si>
  <si>
    <t>MULOONGO CHOOLWE</t>
  </si>
  <si>
    <t>CHOLA TASHENI</t>
  </si>
  <si>
    <t>KUDONGO HANNAH</t>
  </si>
  <si>
    <t xml:space="preserve">SARAH MUSAMBA </t>
  </si>
  <si>
    <t xml:space="preserve">CHEMBE ETHAN </t>
  </si>
  <si>
    <t>KAMUNGU DANIEL</t>
  </si>
  <si>
    <t xml:space="preserve">MULENGA RICHARD </t>
  </si>
  <si>
    <t>MUCHIMBA MUNTANGA</t>
  </si>
  <si>
    <t>MUTEELE  PETER</t>
  </si>
  <si>
    <t>MWENYA PETER</t>
  </si>
  <si>
    <t>NGENDA TABO</t>
  </si>
  <si>
    <t>PONDO DAVID</t>
  </si>
  <si>
    <t>ZOMBE TAILA</t>
  </si>
  <si>
    <t>18/09/2025</t>
  </si>
  <si>
    <t>TINASHE KARUMAZONDO</t>
  </si>
  <si>
    <t>KABONGA FATIMA</t>
  </si>
  <si>
    <t>KALMIANA BUITUMELO</t>
  </si>
  <si>
    <t>KABAMBA EMMANUEL</t>
  </si>
  <si>
    <t>MWANZA ISAAC</t>
  </si>
  <si>
    <t>DAKA LUIS</t>
  </si>
  <si>
    <t>WALUSUNGU JAY BANDA</t>
  </si>
  <si>
    <t>LUSONDE LUBONO</t>
  </si>
  <si>
    <t xml:space="preserve">MUTENDE MWAMBWA </t>
  </si>
  <si>
    <t>PHIRI TEMWANANI</t>
  </si>
  <si>
    <t>CHUMBWALUWE MOSES</t>
  </si>
  <si>
    <t>SICHILIMA WILLA</t>
  </si>
  <si>
    <t>DAKA TANNIA</t>
  </si>
  <si>
    <t>ZOMBI CHUMI</t>
  </si>
  <si>
    <t>JANET CHIBESA</t>
  </si>
  <si>
    <t>MAZUBA PRECIOUS</t>
  </si>
  <si>
    <t>BANDA JAY CHIKUDZA</t>
  </si>
  <si>
    <t>31/07/2025</t>
  </si>
  <si>
    <t>17/05/2025</t>
  </si>
  <si>
    <t>KALUWE PRESCILY</t>
  </si>
  <si>
    <t>KAMUNGU  ALINASEH</t>
  </si>
  <si>
    <t>DANIEL SIKONGO</t>
  </si>
  <si>
    <t>JULIO MILSTEAD</t>
  </si>
  <si>
    <t>MIGUEL MILSTEAD</t>
  </si>
  <si>
    <t>MWANDA EDWIN</t>
  </si>
  <si>
    <t>FILABA HARRY</t>
  </si>
  <si>
    <t>TEMBO DIVINE</t>
  </si>
  <si>
    <t>CHAMA NATHAN</t>
  </si>
  <si>
    <t>HIBUSENGA LUBONO</t>
  </si>
  <si>
    <t xml:space="preserve">MWANSA GIFT </t>
  </si>
  <si>
    <t>TEMBO FAVOUR</t>
  </si>
  <si>
    <t>NYEMBA  CHAMA</t>
  </si>
  <si>
    <t>NKHOMA ESTHER</t>
  </si>
  <si>
    <t>NCHEMA MARTHA</t>
  </si>
  <si>
    <t>MWANSA GRACE</t>
  </si>
  <si>
    <t>LUBONO MILSTEAD</t>
  </si>
  <si>
    <t>24/09/2025</t>
  </si>
  <si>
    <t>TOTAL PAID</t>
  </si>
  <si>
    <t>STAFF CHILD</t>
  </si>
  <si>
    <t>ESTHER CHEWE</t>
  </si>
  <si>
    <t>85 ACC</t>
  </si>
  <si>
    <t>TINASHE NYAU</t>
  </si>
  <si>
    <t>MAKAILA LUYANDO</t>
  </si>
  <si>
    <t>FRIDAH MWENYA</t>
  </si>
  <si>
    <t>BLESSING NDENDE</t>
  </si>
  <si>
    <t>RUTH THINDWA</t>
  </si>
  <si>
    <t>DEBORAH KAWEWE</t>
  </si>
  <si>
    <t>BUKATA TEMBO</t>
  </si>
  <si>
    <t>JEFFERSON MULUMBI</t>
  </si>
  <si>
    <t>MUSAMBA CEPHAS</t>
  </si>
  <si>
    <t>23/09/2025</t>
  </si>
  <si>
    <t>PREP BY:</t>
  </si>
  <si>
    <t>DATE:</t>
  </si>
  <si>
    <t>29/09/2025</t>
  </si>
  <si>
    <t>25/09/2025</t>
  </si>
  <si>
    <t>26/09/2025</t>
  </si>
  <si>
    <t>28/09/2025</t>
  </si>
  <si>
    <t>JOHN SINKALA</t>
  </si>
  <si>
    <t>LUCKY CHEMBE</t>
  </si>
  <si>
    <t>BABY</t>
  </si>
  <si>
    <t>MIDDLE</t>
  </si>
  <si>
    <t>REC</t>
  </si>
  <si>
    <t>G2</t>
  </si>
  <si>
    <t>G3</t>
  </si>
  <si>
    <t>G4</t>
  </si>
  <si>
    <t>G5</t>
  </si>
  <si>
    <t>G7</t>
  </si>
  <si>
    <t>G6</t>
  </si>
  <si>
    <t>06/10/2025</t>
  </si>
  <si>
    <t>07/10/2025</t>
  </si>
  <si>
    <t>6/10/2025</t>
  </si>
  <si>
    <t>02/10/2025</t>
  </si>
  <si>
    <t>01/10/2025</t>
  </si>
  <si>
    <t>30/09/2025</t>
  </si>
  <si>
    <t>CHABOTA M SIKALINDA</t>
  </si>
  <si>
    <t>SAMWIKA TYICHIKUS</t>
  </si>
  <si>
    <t>15/10/2025</t>
  </si>
  <si>
    <t>11/10/2025</t>
  </si>
  <si>
    <t>27/10/2025</t>
  </si>
  <si>
    <t>09/10/2024</t>
  </si>
  <si>
    <t>09/10/2025</t>
  </si>
  <si>
    <t>21/10/2025</t>
  </si>
  <si>
    <t>14/10/2025</t>
  </si>
  <si>
    <t>21/07/2025</t>
  </si>
  <si>
    <t>08/10/2025</t>
  </si>
  <si>
    <t>30/10/2025</t>
  </si>
  <si>
    <t>5% DISCOUNT (83 ACC)</t>
  </si>
  <si>
    <t>10/11/2025</t>
  </si>
  <si>
    <t>13/10/2025</t>
  </si>
  <si>
    <t>07/11/2025</t>
  </si>
  <si>
    <t>04/11/2025</t>
  </si>
  <si>
    <t>09/11/2025</t>
  </si>
  <si>
    <t>K</t>
  </si>
  <si>
    <t>SPORTS</t>
  </si>
  <si>
    <t xml:space="preserve">Date </t>
  </si>
  <si>
    <t>RECEIPT NO</t>
  </si>
  <si>
    <t>LIBRARY</t>
  </si>
  <si>
    <t>PTC</t>
  </si>
  <si>
    <t>COMMENT</t>
  </si>
  <si>
    <t>BABY CLASS 2026</t>
  </si>
  <si>
    <t>MIDDLE CLASS 2026</t>
  </si>
  <si>
    <t>GRADE 1 2026</t>
  </si>
  <si>
    <t>FUMBANI MPHANDE</t>
  </si>
  <si>
    <t>SALIFYANJI NACHILIMA</t>
  </si>
  <si>
    <t>NOTULU LISELI</t>
  </si>
  <si>
    <t>LUYANDO MUDENDA</t>
  </si>
  <si>
    <t>ELIDA CHANDA</t>
  </si>
  <si>
    <t>WINNIE SIALUMBA</t>
  </si>
  <si>
    <t>NIBABAZI MILKA</t>
  </si>
  <si>
    <t xml:space="preserve">GIFT MWANZA </t>
  </si>
  <si>
    <t>ETHAN ZULU</t>
  </si>
  <si>
    <t>LAWRENCE BANDA</t>
  </si>
  <si>
    <t>ALAM SIALUMBA</t>
  </si>
  <si>
    <t>MIRRISA  MAY</t>
  </si>
  <si>
    <t>WINNER NIBABAZI</t>
  </si>
  <si>
    <t>JEMIMAH DAKA</t>
  </si>
  <si>
    <t>MWENYA BLESSING</t>
  </si>
  <si>
    <t>SHAKINAH PHIRI</t>
  </si>
  <si>
    <t>MUKUNDI BAMBALA</t>
  </si>
  <si>
    <t>IPYANA MWASAGA</t>
  </si>
  <si>
    <t>JOEL MULUMBI</t>
  </si>
  <si>
    <t>IMALAIKA IMANI</t>
  </si>
  <si>
    <t>JAMAR BWALYA</t>
  </si>
  <si>
    <t xml:space="preserve">LUSHOMO HACHAMBA </t>
  </si>
  <si>
    <t>JANE THINDWA</t>
  </si>
  <si>
    <t>BENJAMIN KABWIKU</t>
  </si>
  <si>
    <t>KUNDEZHI KABWIKU</t>
  </si>
  <si>
    <t>JASMINE LUMWAYO</t>
  </si>
  <si>
    <t>TINASHE NYANGA</t>
  </si>
  <si>
    <t>Q</t>
  </si>
  <si>
    <t>TEDD CHOONGO</t>
  </si>
  <si>
    <t>KALUNGA JOSHUA</t>
  </si>
  <si>
    <t>JOSHUA MWANSA</t>
  </si>
  <si>
    <t>MASAMA ALBERT</t>
  </si>
  <si>
    <t>NATHAN ZULU</t>
  </si>
  <si>
    <t xml:space="preserve">NICHOLAS </t>
  </si>
  <si>
    <t>TWAZANGA DIALLO ELINA</t>
  </si>
  <si>
    <t>MUMBA KASUBA</t>
  </si>
  <si>
    <t>JADEN KANGACHEPE</t>
  </si>
  <si>
    <t>KYLIE MWENDA</t>
  </si>
  <si>
    <t>CARISSA MOONDE</t>
  </si>
  <si>
    <t>MALUBA MUNSAKA</t>
  </si>
  <si>
    <t>PATIACE KAWEWE</t>
  </si>
  <si>
    <t>HANAHMARIA KUDONGO</t>
  </si>
  <si>
    <t>WANDIPAH MANDEXA</t>
  </si>
  <si>
    <t>NGENDA TAPELO</t>
  </si>
  <si>
    <t>DAVID PONDO</t>
  </si>
  <si>
    <t>ISHMAEL MAREBESA</t>
  </si>
  <si>
    <t>ETHAN CHEMBE</t>
  </si>
  <si>
    <t>TAILA ZOMBI</t>
  </si>
  <si>
    <t>TWAAMBO HACHILENSA</t>
  </si>
  <si>
    <t>CHUMI ZOMBE</t>
  </si>
  <si>
    <t>PRECIOUS MAZUBA</t>
  </si>
  <si>
    <t>ISABELLA BANDA</t>
  </si>
  <si>
    <t>FAITH MWAMULIMA</t>
  </si>
  <si>
    <t>TANYA DAKA</t>
  </si>
  <si>
    <t>TABO NGENDA</t>
  </si>
  <si>
    <t>PRESILY KALUWE</t>
  </si>
  <si>
    <t>ALINASE KAMUNGU</t>
  </si>
  <si>
    <t>CHIKUZA JAY BANDA</t>
  </si>
  <si>
    <t>NDENDE BLESSING</t>
  </si>
  <si>
    <t>CHEWE ESTHER</t>
  </si>
  <si>
    <t>RUTH  THINDWA</t>
  </si>
  <si>
    <t>JANICE PHIRI</t>
  </si>
  <si>
    <t>NANDI T DAKA</t>
  </si>
  <si>
    <t>RODAH TEMBO</t>
  </si>
  <si>
    <t>LUBONO LUSONDE</t>
  </si>
  <si>
    <t>MWAMBWA MUTENDE</t>
  </si>
  <si>
    <t>EMMANUEL CHISUPA</t>
  </si>
  <si>
    <t>CHILONDELA RYAN</t>
  </si>
  <si>
    <t>WILLA SICHILIMA</t>
  </si>
  <si>
    <t>MOSES CHUMBWALUME</t>
  </si>
  <si>
    <t>MADALITSO LUNGU</t>
  </si>
  <si>
    <t>paid</t>
  </si>
  <si>
    <t>CHEMBE LUCKY</t>
  </si>
  <si>
    <t>CHEWE KALENGA</t>
  </si>
  <si>
    <t>SARAH  PHIRI</t>
  </si>
  <si>
    <t>CHABOTA SIKALINDA</t>
  </si>
  <si>
    <t>ZULU ESTHER</t>
  </si>
  <si>
    <t>TEMBO JEDAIDAH</t>
  </si>
  <si>
    <t>MARTHA CHIKOTI</t>
  </si>
  <si>
    <t>FULARA MWAKAPIKI</t>
  </si>
  <si>
    <t>GIFT NIMBABAZI</t>
  </si>
  <si>
    <t>HIBUSENGA CHILELEKO</t>
  </si>
  <si>
    <t>KAMPAMBA JOSHUA</t>
  </si>
  <si>
    <t>KUZWAYO DAKA</t>
  </si>
  <si>
    <t>WALTON SEMANI</t>
  </si>
  <si>
    <t>ERNEST LIFWATILA</t>
  </si>
  <si>
    <t>FAVOUR CHISUPA</t>
  </si>
  <si>
    <t>TATENDA  MANOEYA</t>
  </si>
  <si>
    <t>RYLEE MWENDA</t>
  </si>
  <si>
    <t>CHIPEGO SIKALINDA</t>
  </si>
  <si>
    <t>NAVIL LIFUMBELA</t>
  </si>
  <si>
    <t>LIMPO NOTULU</t>
  </si>
  <si>
    <t>THELMA KALOMBO</t>
  </si>
  <si>
    <t>SHAWNA NAMFUKWE</t>
  </si>
  <si>
    <t>TRIZAH KATAI</t>
  </si>
  <si>
    <t>ZEPPORAH KAMBOLE</t>
  </si>
  <si>
    <t>CHISUNGUSHO MWILA</t>
  </si>
  <si>
    <t>PRINCESS NGAMBI</t>
  </si>
  <si>
    <t>LUSE BWALYA</t>
  </si>
  <si>
    <t>FAVOUR CHISPASHA</t>
  </si>
  <si>
    <t>MAUREEN MWENYA</t>
  </si>
  <si>
    <t>LILATO SIKAPA</t>
  </si>
  <si>
    <t>ATTALIA PHIRI</t>
  </si>
  <si>
    <t>IZUKANJI CHULU</t>
  </si>
  <si>
    <t>KUZIPA MPANDE</t>
  </si>
  <si>
    <t>ONGANI  KAMANGA</t>
  </si>
  <si>
    <t>CINDY  CHANDA</t>
  </si>
  <si>
    <t>JOSHUA MUMBA</t>
  </si>
  <si>
    <t>MAYAMIKO MUSHANGA</t>
  </si>
  <si>
    <t>CHELSEA SHULTZ</t>
  </si>
  <si>
    <t>GINNAH MWASAGA</t>
  </si>
  <si>
    <t>ISAAC MWANZA</t>
  </si>
  <si>
    <t>BARNABAS MUSHAYABANU</t>
  </si>
  <si>
    <t>WEZI KALIMAZONDO</t>
  </si>
  <si>
    <t>RABECCA MIYOBA</t>
  </si>
  <si>
    <t>FELISTUS NDENDE</t>
  </si>
  <si>
    <t>MERCY SAKALA</t>
  </si>
  <si>
    <t>RENISIA CHIMBWALUME</t>
  </si>
  <si>
    <t>CHIMWEMWE LUNGU</t>
  </si>
  <si>
    <t>JEMIMAH MULUMBI</t>
  </si>
  <si>
    <t>SHEKINAH KABAMBA</t>
  </si>
  <si>
    <t>LUYANDO HABANJI</t>
  </si>
  <si>
    <t>LIMPO JEMIMAH LIFWATILA</t>
  </si>
  <si>
    <t>OLIVIA MPANDE</t>
  </si>
  <si>
    <t>SHYANE SINIFUKWE</t>
  </si>
  <si>
    <t>PHOEBBIE KAOMA</t>
  </si>
  <si>
    <t>LUIS DAKA</t>
  </si>
  <si>
    <t>EMMANUEL HACHABA</t>
  </si>
  <si>
    <t>NANCY BUUMBA</t>
  </si>
  <si>
    <t>CRAIGE BUUMBA</t>
  </si>
  <si>
    <t>MAINTANCE</t>
  </si>
  <si>
    <t>PAID</t>
  </si>
  <si>
    <t>BAL SPORTS</t>
  </si>
  <si>
    <t>BAL LIBRARY</t>
  </si>
  <si>
    <t>BAL PTC</t>
  </si>
  <si>
    <t>RCT NO.</t>
  </si>
  <si>
    <t>BAL MAINT</t>
  </si>
  <si>
    <t>TOTAL SCHL FEES</t>
  </si>
  <si>
    <t>EDMARK FILABA</t>
  </si>
  <si>
    <t>ANDRE LWEKO</t>
  </si>
  <si>
    <t>JASON TEMBO</t>
  </si>
  <si>
    <t>MONISHA</t>
  </si>
  <si>
    <t>WAMPA BWALYA</t>
  </si>
  <si>
    <t>NYEM LUSHOMO</t>
  </si>
  <si>
    <t>EMMANUEL KABAMBA</t>
  </si>
  <si>
    <t>MIRRAM PHIRI</t>
  </si>
  <si>
    <t>TASHENI CHOLA</t>
  </si>
  <si>
    <t>MAKAYLA NKONDE</t>
  </si>
  <si>
    <t>DANIEL KAMUNGU</t>
  </si>
  <si>
    <t>MIRRIAM PHIRI</t>
  </si>
  <si>
    <t xml:space="preserve"> DANIEL KAMUNGU</t>
  </si>
  <si>
    <t>TASHINE CHOLA</t>
  </si>
  <si>
    <t>ABRAHAM MPANDE</t>
  </si>
  <si>
    <t>ARASTUS KAMBOLE</t>
  </si>
  <si>
    <t>NGOMA ELI LUYANDO</t>
  </si>
  <si>
    <t>MBUYOTI NSAMA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</si>
</sst>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.00_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02">
    <xf numFmtId="0" fontId="0" fillId="0" borderId="0" xfId="0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0" xfId="0" applyAlignment="1">
      <alignment wrapText="1"/>
    </xf>
    <xf numFmtId="165" fontId="0" fillId="0" borderId="3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3" fillId="0" borderId="0" xfId="0" applyFont="1" applyAlignment="1">
      <alignment wrapText="1"/>
    </xf>
    <xf numFmtId="0" fontId="1" fillId="0" borderId="3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1" fillId="2" borderId="0" xfId="0" applyFont="1" applyFill="1" applyAlignment="1">
      <alignment wrapText="1"/>
    </xf>
    <xf numFmtId="0" fontId="0" fillId="0" borderId="3" xfId="0" applyBorder="1"/>
    <xf numFmtId="0" fontId="0" fillId="6" borderId="3" xfId="0" applyFill="1" applyBorder="1"/>
    <xf numFmtId="0" fontId="0" fillId="0" borderId="4" xfId="0" applyBorder="1" applyAlignment="1">
      <alignment wrapText="1"/>
    </xf>
    <xf numFmtId="0" fontId="0" fillId="0" borderId="4" xfId="0" applyBorder="1"/>
    <xf numFmtId="0" fontId="0" fillId="10" borderId="3" xfId="0" applyFill="1" applyBorder="1"/>
    <xf numFmtId="0" fontId="0" fillId="10" borderId="3" xfId="0" applyFill="1" applyBorder="1" applyAlignment="1">
      <alignment wrapText="1"/>
    </xf>
    <xf numFmtId="0" fontId="1" fillId="10" borderId="3" xfId="0" applyFont="1" applyFill="1" applyBorder="1"/>
    <xf numFmtId="0" fontId="0" fillId="6" borderId="3" xfId="0" applyFill="1" applyBorder="1" applyAlignment="1">
      <alignment wrapText="1"/>
    </xf>
    <xf numFmtId="0" fontId="1" fillId="6" borderId="3" xfId="0" applyFont="1" applyFill="1" applyBorder="1"/>
    <xf numFmtId="164" fontId="0" fillId="0" borderId="3" xfId="1" applyFont="1" applyBorder="1" applyAlignment="1">
      <alignment wrapText="1"/>
    </xf>
    <xf numFmtId="164" fontId="0" fillId="6" borderId="3" xfId="1" applyFont="1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11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7" xfId="0" applyBorder="1" applyAlignment="1">
      <alignment wrapText="1"/>
    </xf>
    <xf numFmtId="0" fontId="0" fillId="11" borderId="17" xfId="0" applyFill="1" applyBorder="1" applyAlignment="1">
      <alignment wrapText="1"/>
    </xf>
    <xf numFmtId="0" fontId="0" fillId="0" borderId="17" xfId="0" applyBorder="1"/>
    <xf numFmtId="0" fontId="0" fillId="0" borderId="20" xfId="0" applyBorder="1"/>
    <xf numFmtId="0" fontId="1" fillId="12" borderId="21" xfId="0" applyFont="1" applyFill="1" applyBorder="1"/>
    <xf numFmtId="164" fontId="1" fillId="12" borderId="21" xfId="0" applyNumberFormat="1" applyFont="1" applyFill="1" applyBorder="1"/>
    <xf numFmtId="0" fontId="0" fillId="0" borderId="22" xfId="0" applyBorder="1"/>
    <xf numFmtId="0" fontId="4" fillId="13" borderId="3" xfId="0" applyFont="1" applyFill="1" applyBorder="1" applyAlignment="1">
      <alignment wrapText="1"/>
    </xf>
    <xf numFmtId="0" fontId="0" fillId="13" borderId="3" xfId="0" applyFill="1" applyBorder="1" applyAlignment="1">
      <alignment wrapText="1"/>
    </xf>
    <xf numFmtId="164" fontId="0" fillId="13" borderId="3" xfId="1" applyFont="1" applyFill="1" applyBorder="1" applyAlignment="1">
      <alignment wrapText="1"/>
    </xf>
    <xf numFmtId="0" fontId="4" fillId="13" borderId="9" xfId="0" applyFont="1" applyFill="1" applyBorder="1" applyAlignment="1">
      <alignment wrapText="1"/>
    </xf>
    <xf numFmtId="0" fontId="0" fillId="13" borderId="17" xfId="0" applyFill="1" applyBorder="1" applyAlignment="1">
      <alignment wrapText="1"/>
    </xf>
    <xf numFmtId="0" fontId="0" fillId="13" borderId="6" xfId="0" applyFill="1" applyBorder="1" applyAlignment="1">
      <alignment wrapText="1"/>
    </xf>
    <xf numFmtId="0" fontId="0" fillId="13" borderId="3" xfId="0" applyFill="1" applyBorder="1"/>
    <xf numFmtId="0" fontId="0" fillId="15" borderId="17" xfId="0" applyFill="1" applyBorder="1"/>
    <xf numFmtId="0" fontId="0" fillId="15" borderId="3" xfId="0" applyFill="1" applyBorder="1"/>
    <xf numFmtId="164" fontId="0" fillId="15" borderId="3" xfId="1" applyFont="1" applyFill="1" applyBorder="1" applyAlignment="1">
      <alignment wrapText="1"/>
    </xf>
    <xf numFmtId="0" fontId="0" fillId="15" borderId="3" xfId="0" applyFill="1" applyBorder="1" applyAlignment="1">
      <alignment wrapText="1"/>
    </xf>
    <xf numFmtId="164" fontId="0" fillId="0" borderId="6" xfId="1" applyFont="1" applyBorder="1" applyAlignment="1">
      <alignment wrapText="1"/>
    </xf>
    <xf numFmtId="164" fontId="7" fillId="0" borderId="10" xfId="1" applyFont="1" applyBorder="1" applyAlignment="1">
      <alignment wrapText="1"/>
    </xf>
    <xf numFmtId="164" fontId="1" fillId="14" borderId="10" xfId="1" applyFont="1" applyFill="1" applyBorder="1" applyAlignment="1">
      <alignment wrapText="1"/>
    </xf>
    <xf numFmtId="0" fontId="0" fillId="0" borderId="2" xfId="0" applyBorder="1"/>
    <xf numFmtId="164" fontId="5" fillId="14" borderId="10" xfId="1" applyFont="1" applyFill="1" applyBorder="1" applyAlignment="1">
      <alignment wrapText="1"/>
    </xf>
    <xf numFmtId="0" fontId="0" fillId="0" borderId="24" xfId="0" applyBorder="1"/>
    <xf numFmtId="0" fontId="0" fillId="0" borderId="6" xfId="0" applyBorder="1"/>
    <xf numFmtId="0" fontId="0" fillId="0" borderId="8" xfId="0" applyBorder="1"/>
    <xf numFmtId="164" fontId="5" fillId="14" borderId="25" xfId="1" applyFont="1" applyFill="1" applyBorder="1" applyAlignment="1">
      <alignment wrapText="1"/>
    </xf>
    <xf numFmtId="0" fontId="0" fillId="0" borderId="26" xfId="0" applyBorder="1" applyAlignment="1">
      <alignment wrapText="1"/>
    </xf>
    <xf numFmtId="0" fontId="0" fillId="0" borderId="6" xfId="0" applyBorder="1" applyAlignment="1">
      <alignment wrapText="1"/>
    </xf>
    <xf numFmtId="0" fontId="0" fillId="15" borderId="27" xfId="0" applyFill="1" applyBorder="1"/>
    <xf numFmtId="0" fontId="0" fillId="15" borderId="7" xfId="0" applyFill="1" applyBorder="1"/>
    <xf numFmtId="164" fontId="0" fillId="15" borderId="7" xfId="1" applyFont="1" applyFill="1" applyBorder="1" applyAlignment="1">
      <alignment wrapText="1"/>
    </xf>
    <xf numFmtId="0" fontId="0" fillId="15" borderId="7" xfId="0" applyFill="1" applyBorder="1" applyAlignment="1">
      <alignment wrapText="1"/>
    </xf>
    <xf numFmtId="0" fontId="0" fillId="0" borderId="28" xfId="0" applyBorder="1"/>
    <xf numFmtId="0" fontId="1" fillId="9" borderId="29" xfId="0" applyFont="1" applyFill="1" applyBorder="1"/>
    <xf numFmtId="0" fontId="0" fillId="9" borderId="29" xfId="0" applyFill="1" applyBorder="1"/>
    <xf numFmtId="0" fontId="0" fillId="9" borderId="29" xfId="0" applyFill="1" applyBorder="1" applyAlignment="1">
      <alignment wrapText="1"/>
    </xf>
    <xf numFmtId="164" fontId="0" fillId="9" borderId="29" xfId="1" applyFont="1" applyFill="1" applyBorder="1" applyAlignment="1">
      <alignment wrapText="1"/>
    </xf>
    <xf numFmtId="0" fontId="0" fillId="10" borderId="7" xfId="0" applyFill="1" applyBorder="1" applyAlignment="1">
      <alignment wrapText="1"/>
    </xf>
    <xf numFmtId="164" fontId="5" fillId="14" borderId="3" xfId="1" applyFont="1" applyFill="1" applyBorder="1" applyAlignment="1">
      <alignment wrapText="1"/>
    </xf>
    <xf numFmtId="0" fontId="0" fillId="0" borderId="31" xfId="0" applyBorder="1"/>
    <xf numFmtId="164" fontId="5" fillId="16" borderId="6" xfId="1" applyFont="1" applyFill="1" applyBorder="1" applyAlignment="1">
      <alignment wrapText="1"/>
    </xf>
    <xf numFmtId="0" fontId="1" fillId="5" borderId="28" xfId="0" applyFont="1" applyFill="1" applyBorder="1"/>
    <xf numFmtId="0" fontId="0" fillId="5" borderId="29" xfId="0" applyFill="1" applyBorder="1"/>
    <xf numFmtId="164" fontId="0" fillId="5" borderId="29" xfId="1" applyFont="1" applyFill="1" applyBorder="1" applyAlignment="1">
      <alignment wrapText="1"/>
    </xf>
    <xf numFmtId="0" fontId="0" fillId="5" borderId="29" xfId="0" applyFill="1" applyBorder="1" applyAlignment="1">
      <alignment wrapText="1"/>
    </xf>
    <xf numFmtId="0" fontId="1" fillId="2" borderId="29" xfId="0" applyFont="1" applyFill="1" applyBorder="1"/>
    <xf numFmtId="0" fontId="0" fillId="2" borderId="29" xfId="0" applyFill="1" applyBorder="1"/>
    <xf numFmtId="164" fontId="0" fillId="2" borderId="29" xfId="1" applyFont="1" applyFill="1" applyBorder="1" applyAlignment="1">
      <alignment wrapText="1"/>
    </xf>
    <xf numFmtId="0" fontId="0" fillId="2" borderId="29" xfId="0" applyFill="1" applyBorder="1" applyAlignment="1">
      <alignment wrapText="1"/>
    </xf>
    <xf numFmtId="164" fontId="5" fillId="16" borderId="10" xfId="1" applyFont="1" applyFill="1" applyBorder="1" applyAlignment="1">
      <alignment wrapText="1"/>
    </xf>
    <xf numFmtId="0" fontId="1" fillId="3" borderId="29" xfId="0" applyFont="1" applyFill="1" applyBorder="1"/>
    <xf numFmtId="0" fontId="0" fillId="3" borderId="29" xfId="0" applyFill="1" applyBorder="1"/>
    <xf numFmtId="164" fontId="0" fillId="3" borderId="29" xfId="1" applyFont="1" applyFill="1" applyBorder="1" applyAlignment="1">
      <alignment wrapText="1"/>
    </xf>
    <xf numFmtId="0" fontId="0" fillId="3" borderId="29" xfId="0" applyFill="1" applyBorder="1" applyAlignment="1">
      <alignment wrapText="1"/>
    </xf>
    <xf numFmtId="164" fontId="0" fillId="0" borderId="7" xfId="1" applyFont="1" applyBorder="1"/>
    <xf numFmtId="164" fontId="5" fillId="0" borderId="10" xfId="1" applyFont="1" applyBorder="1"/>
    <xf numFmtId="164" fontId="1" fillId="0" borderId="10" xfId="1" applyFont="1" applyBorder="1"/>
    <xf numFmtId="164" fontId="0" fillId="0" borderId="9" xfId="1" applyFont="1" applyBorder="1"/>
    <xf numFmtId="164" fontId="7" fillId="0" borderId="10" xfId="1" applyFont="1" applyBorder="1"/>
    <xf numFmtId="0" fontId="0" fillId="0" borderId="8" xfId="0" applyBorder="1" applyAlignment="1">
      <alignment wrapText="1"/>
    </xf>
    <xf numFmtId="0" fontId="0" fillId="0" borderId="26" xfId="0" applyBorder="1"/>
    <xf numFmtId="164" fontId="0" fillId="6" borderId="7" xfId="1" applyFont="1" applyFill="1" applyBorder="1" applyAlignment="1">
      <alignment wrapText="1"/>
    </xf>
    <xf numFmtId="164" fontId="0" fillId="10" borderId="7" xfId="1" applyFont="1" applyFill="1" applyBorder="1" applyAlignment="1">
      <alignment wrapText="1"/>
    </xf>
    <xf numFmtId="164" fontId="7" fillId="0" borderId="25" xfId="1" applyFont="1" applyBorder="1" applyAlignment="1">
      <alignment wrapText="1"/>
    </xf>
    <xf numFmtId="0" fontId="1" fillId="4" borderId="29" xfId="0" applyFont="1" applyFill="1" applyBorder="1"/>
    <xf numFmtId="0" fontId="0" fillId="4" borderId="29" xfId="0" applyFill="1" applyBorder="1"/>
    <xf numFmtId="0" fontId="0" fillId="4" borderId="29" xfId="0" applyFill="1" applyBorder="1" applyAlignment="1">
      <alignment wrapText="1"/>
    </xf>
    <xf numFmtId="164" fontId="0" fillId="4" borderId="29" xfId="1" applyFont="1" applyFill="1" applyBorder="1" applyAlignment="1">
      <alignment wrapText="1"/>
    </xf>
    <xf numFmtId="164" fontId="1" fillId="14" borderId="25" xfId="1" applyFont="1" applyFill="1" applyBorder="1" applyAlignment="1">
      <alignment wrapText="1"/>
    </xf>
    <xf numFmtId="0" fontId="5" fillId="8" borderId="29" xfId="0" applyFont="1" applyFill="1" applyBorder="1" applyAlignment="1">
      <alignment wrapText="1"/>
    </xf>
    <xf numFmtId="0" fontId="1" fillId="8" borderId="29" xfId="0" applyFont="1" applyFill="1" applyBorder="1"/>
    <xf numFmtId="0" fontId="1" fillId="8" borderId="29" xfId="0" applyFont="1" applyFill="1" applyBorder="1" applyAlignment="1">
      <alignment wrapText="1"/>
    </xf>
    <xf numFmtId="164" fontId="1" fillId="8" borderId="29" xfId="1" applyFont="1" applyFill="1" applyBorder="1" applyAlignment="1">
      <alignment wrapText="1"/>
    </xf>
    <xf numFmtId="0" fontId="0" fillId="0" borderId="24" xfId="0" applyBorder="1" applyAlignment="1">
      <alignment wrapText="1"/>
    </xf>
    <xf numFmtId="0" fontId="4" fillId="0" borderId="6" xfId="0" applyFont="1" applyBorder="1" applyAlignment="1">
      <alignment wrapText="1"/>
    </xf>
    <xf numFmtId="0" fontId="0" fillId="13" borderId="27" xfId="0" applyFill="1" applyBorder="1" applyAlignment="1">
      <alignment wrapText="1"/>
    </xf>
    <xf numFmtId="0" fontId="4" fillId="13" borderId="7" xfId="0" applyFont="1" applyFill="1" applyBorder="1" applyAlignment="1">
      <alignment wrapText="1"/>
    </xf>
    <xf numFmtId="0" fontId="0" fillId="13" borderId="7" xfId="0" applyFill="1" applyBorder="1" applyAlignment="1">
      <alignment wrapText="1"/>
    </xf>
    <xf numFmtId="164" fontId="0" fillId="13" borderId="7" xfId="1" applyFont="1" applyFill="1" applyBorder="1" applyAlignment="1">
      <alignment wrapText="1"/>
    </xf>
    <xf numFmtId="0" fontId="0" fillId="0" borderId="28" xfId="0" applyBorder="1" applyAlignment="1">
      <alignment wrapText="1"/>
    </xf>
    <xf numFmtId="0" fontId="4" fillId="7" borderId="29" xfId="0" applyFont="1" applyFill="1" applyBorder="1" applyAlignment="1">
      <alignment wrapText="1"/>
    </xf>
    <xf numFmtId="0" fontId="0" fillId="7" borderId="29" xfId="0" applyFill="1" applyBorder="1" applyAlignment="1">
      <alignment wrapText="1"/>
    </xf>
    <xf numFmtId="164" fontId="0" fillId="7" borderId="29" xfId="1" applyFont="1" applyFill="1" applyBorder="1" applyAlignment="1">
      <alignment wrapText="1"/>
    </xf>
    <xf numFmtId="0" fontId="8" fillId="13" borderId="18" xfId="0" applyFont="1" applyFill="1" applyBorder="1" applyAlignment="1">
      <alignment wrapText="1"/>
    </xf>
    <xf numFmtId="0" fontId="8" fillId="0" borderId="18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8" fillId="7" borderId="30" xfId="0" applyFont="1" applyFill="1" applyBorder="1" applyAlignment="1">
      <alignment wrapText="1"/>
    </xf>
    <xf numFmtId="0" fontId="8" fillId="13" borderId="16" xfId="0" applyFont="1" applyFill="1" applyBorder="1" applyAlignment="1">
      <alignment wrapText="1"/>
    </xf>
    <xf numFmtId="0" fontId="8" fillId="13" borderId="19" xfId="0" applyFont="1" applyFill="1" applyBorder="1" applyAlignment="1">
      <alignment wrapText="1"/>
    </xf>
    <xf numFmtId="0" fontId="8" fillId="13" borderId="18" xfId="0" applyFont="1" applyFill="1" applyBorder="1"/>
    <xf numFmtId="0" fontId="8" fillId="0" borderId="18" xfId="0" applyFont="1" applyBorder="1"/>
    <xf numFmtId="0" fontId="8" fillId="0" borderId="19" xfId="0" applyFont="1" applyBorder="1"/>
    <xf numFmtId="0" fontId="9" fillId="8" borderId="30" xfId="0" applyFont="1" applyFill="1" applyBorder="1"/>
    <xf numFmtId="0" fontId="8" fillId="15" borderId="16" xfId="0" applyFont="1" applyFill="1" applyBorder="1"/>
    <xf numFmtId="0" fontId="8" fillId="15" borderId="18" xfId="0" applyFont="1" applyFill="1" applyBorder="1"/>
    <xf numFmtId="0" fontId="8" fillId="4" borderId="30" xfId="0" applyFont="1" applyFill="1" applyBorder="1"/>
    <xf numFmtId="9" fontId="8" fillId="15" borderId="18" xfId="2" applyFont="1" applyFill="1" applyBorder="1"/>
    <xf numFmtId="0" fontId="8" fillId="9" borderId="30" xfId="0" applyFont="1" applyFill="1" applyBorder="1"/>
    <xf numFmtId="0" fontId="8" fillId="10" borderId="18" xfId="0" applyFont="1" applyFill="1" applyBorder="1"/>
    <xf numFmtId="0" fontId="8" fillId="6" borderId="18" xfId="0" applyFont="1" applyFill="1" applyBorder="1"/>
    <xf numFmtId="0" fontId="8" fillId="5" borderId="30" xfId="0" applyFont="1" applyFill="1" applyBorder="1"/>
    <xf numFmtId="0" fontId="8" fillId="2" borderId="30" xfId="0" applyFont="1" applyFill="1" applyBorder="1"/>
    <xf numFmtId="0" fontId="8" fillId="3" borderId="30" xfId="0" applyFont="1" applyFill="1" applyBorder="1"/>
    <xf numFmtId="0" fontId="0" fillId="15" borderId="6" xfId="0" applyFill="1" applyBorder="1"/>
    <xf numFmtId="164" fontId="0" fillId="15" borderId="6" xfId="1" applyFont="1" applyFill="1" applyBorder="1" applyAlignment="1">
      <alignment wrapText="1"/>
    </xf>
    <xf numFmtId="164" fontId="0" fillId="15" borderId="10" xfId="1" applyFont="1" applyFill="1" applyBorder="1" applyAlignment="1">
      <alignment wrapText="1"/>
    </xf>
    <xf numFmtId="164" fontId="0" fillId="2" borderId="3" xfId="1" applyFont="1" applyFill="1" applyBorder="1" applyAlignment="1">
      <alignment wrapText="1"/>
    </xf>
    <xf numFmtId="0" fontId="0" fillId="15" borderId="6" xfId="0" applyFill="1" applyBorder="1" applyAlignment="1">
      <alignment wrapText="1"/>
    </xf>
    <xf numFmtId="0" fontId="0" fillId="15" borderId="4" xfId="0" applyFill="1" applyBorder="1" applyAlignment="1">
      <alignment wrapText="1"/>
    </xf>
    <xf numFmtId="0" fontId="0" fillId="15" borderId="8" xfId="0" applyFill="1" applyBorder="1" applyAlignment="1">
      <alignment wrapText="1"/>
    </xf>
    <xf numFmtId="0" fontId="0" fillId="15" borderId="2" xfId="0" applyFill="1" applyBorder="1"/>
    <xf numFmtId="0" fontId="8" fillId="15" borderId="19" xfId="0" applyFont="1" applyFill="1" applyBorder="1"/>
    <xf numFmtId="164" fontId="1" fillId="2" borderId="3" xfId="1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164" fontId="7" fillId="2" borderId="3" xfId="1" applyFont="1" applyFill="1" applyBorder="1" applyAlignment="1">
      <alignment wrapText="1"/>
    </xf>
    <xf numFmtId="0" fontId="1" fillId="2" borderId="3" xfId="0" applyFont="1" applyFill="1" applyBorder="1"/>
    <xf numFmtId="164" fontId="1" fillId="2" borderId="6" xfId="1" applyFont="1" applyFill="1" applyBorder="1" applyAlignment="1">
      <alignment wrapText="1"/>
    </xf>
    <xf numFmtId="16" fontId="0" fillId="15" borderId="3" xfId="0" applyNumberFormat="1" applyFill="1" applyBorder="1" applyAlignment="1">
      <alignment wrapText="1"/>
    </xf>
    <xf numFmtId="164" fontId="8" fillId="0" borderId="23" xfId="0" applyNumberFormat="1" applyFont="1" applyBorder="1"/>
    <xf numFmtId="164" fontId="1" fillId="0" borderId="22" xfId="0" applyNumberFormat="1" applyFont="1" applyBorder="1"/>
    <xf numFmtId="0" fontId="1" fillId="0" borderId="22" xfId="0" applyFont="1" applyBorder="1"/>
    <xf numFmtId="164" fontId="1" fillId="0" borderId="22" xfId="1" applyFont="1" applyBorder="1"/>
    <xf numFmtId="0" fontId="8" fillId="7" borderId="34" xfId="0" applyFont="1" applyFill="1" applyBorder="1" applyAlignment="1">
      <alignment wrapText="1"/>
    </xf>
    <xf numFmtId="0" fontId="9" fillId="8" borderId="34" xfId="0" applyFont="1" applyFill="1" applyBorder="1"/>
    <xf numFmtId="0" fontId="8" fillId="4" borderId="34" xfId="0" applyFont="1" applyFill="1" applyBorder="1"/>
    <xf numFmtId="0" fontId="8" fillId="9" borderId="34" xfId="0" applyFont="1" applyFill="1" applyBorder="1"/>
    <xf numFmtId="0" fontId="8" fillId="10" borderId="4" xfId="0" applyFont="1" applyFill="1" applyBorder="1"/>
    <xf numFmtId="0" fontId="8" fillId="6" borderId="4" xfId="0" applyFont="1" applyFill="1" applyBorder="1"/>
    <xf numFmtId="0" fontId="8" fillId="5" borderId="34" xfId="0" applyFont="1" applyFill="1" applyBorder="1"/>
    <xf numFmtId="0" fontId="8" fillId="2" borderId="34" xfId="0" applyFont="1" applyFill="1" applyBorder="1"/>
    <xf numFmtId="0" fontId="8" fillId="3" borderId="34" xfId="0" applyFont="1" applyFill="1" applyBorder="1"/>
    <xf numFmtId="164" fontId="0" fillId="0" borderId="3" xfId="1" applyFont="1" applyBorder="1"/>
    <xf numFmtId="0" fontId="0" fillId="13" borderId="3" xfId="0" quotePrefix="1" applyFill="1" applyBorder="1" applyAlignment="1">
      <alignment wrapText="1"/>
    </xf>
    <xf numFmtId="0" fontId="1" fillId="0" borderId="12" xfId="0" applyFont="1" applyBorder="1" applyAlignment="1">
      <alignment horizontal="center" wrapText="1"/>
    </xf>
    <xf numFmtId="14" fontId="0" fillId="13" borderId="3" xfId="0" applyNumberFormat="1" applyFill="1" applyBorder="1" applyAlignment="1">
      <alignment wrapText="1"/>
    </xf>
    <xf numFmtId="0" fontId="0" fillId="13" borderId="4" xfId="0" applyFill="1" applyBorder="1" applyAlignment="1">
      <alignment wrapText="1"/>
    </xf>
    <xf numFmtId="0" fontId="0" fillId="7" borderId="34" xfId="0" applyFill="1" applyBorder="1" applyAlignment="1">
      <alignment wrapText="1"/>
    </xf>
    <xf numFmtId="0" fontId="0" fillId="13" borderId="33" xfId="0" applyFill="1" applyBorder="1" applyAlignment="1">
      <alignment wrapText="1"/>
    </xf>
    <xf numFmtId="0" fontId="1" fillId="8" borderId="34" xfId="0" applyFont="1" applyFill="1" applyBorder="1"/>
    <xf numFmtId="0" fontId="0" fillId="15" borderId="33" xfId="0" applyFill="1" applyBorder="1"/>
    <xf numFmtId="0" fontId="0" fillId="15" borderId="4" xfId="0" applyFill="1" applyBorder="1"/>
    <xf numFmtId="0" fontId="0" fillId="4" borderId="34" xfId="0" applyFill="1" applyBorder="1"/>
    <xf numFmtId="0" fontId="0" fillId="9" borderId="34" xfId="0" applyFill="1" applyBorder="1"/>
    <xf numFmtId="0" fontId="0" fillId="10" borderId="4" xfId="0" applyFill="1" applyBorder="1"/>
    <xf numFmtId="0" fontId="0" fillId="6" borderId="4" xfId="0" applyFill="1" applyBorder="1"/>
    <xf numFmtId="0" fontId="0" fillId="5" borderId="34" xfId="0" applyFill="1" applyBorder="1"/>
    <xf numFmtId="0" fontId="0" fillId="2" borderId="34" xfId="0" applyFill="1" applyBorder="1"/>
    <xf numFmtId="0" fontId="0" fillId="3" borderId="34" xfId="0" applyFill="1" applyBorder="1"/>
    <xf numFmtId="0" fontId="0" fillId="6" borderId="7" xfId="0" applyFill="1" applyBorder="1" applyAlignment="1">
      <alignment wrapText="1"/>
    </xf>
    <xf numFmtId="164" fontId="0" fillId="0" borderId="26" xfId="1" applyFont="1" applyBorder="1" applyAlignment="1">
      <alignment wrapText="1"/>
    </xf>
    <xf numFmtId="0" fontId="1" fillId="12" borderId="36" xfId="0" applyFont="1" applyFill="1" applyBorder="1"/>
    <xf numFmtId="165" fontId="0" fillId="0" borderId="2" xfId="0" applyNumberFormat="1" applyBorder="1" applyAlignment="1">
      <alignment wrapText="1"/>
    </xf>
    <xf numFmtId="0" fontId="1" fillId="0" borderId="2" xfId="0" applyFont="1" applyBorder="1" applyAlignment="1">
      <alignment wrapText="1"/>
    </xf>
    <xf numFmtId="164" fontId="0" fillId="13" borderId="2" xfId="1" applyFont="1" applyFill="1" applyBorder="1" applyAlignment="1">
      <alignment wrapText="1"/>
    </xf>
    <xf numFmtId="164" fontId="1" fillId="14" borderId="37" xfId="1" applyFont="1" applyFill="1" applyBorder="1" applyAlignment="1">
      <alignment wrapText="1"/>
    </xf>
    <xf numFmtId="0" fontId="0" fillId="7" borderId="38" xfId="0" applyFill="1" applyBorder="1" applyAlignment="1">
      <alignment wrapText="1"/>
    </xf>
    <xf numFmtId="164" fontId="0" fillId="13" borderId="39" xfId="1" applyFont="1" applyFill="1" applyBorder="1" applyAlignment="1">
      <alignment wrapText="1"/>
    </xf>
    <xf numFmtId="164" fontId="0" fillId="0" borderId="2" xfId="1" applyFont="1" applyBorder="1" applyAlignment="1">
      <alignment wrapText="1"/>
    </xf>
    <xf numFmtId="164" fontId="1" fillId="14" borderId="40" xfId="1" applyFont="1" applyFill="1" applyBorder="1" applyAlignment="1">
      <alignment wrapText="1"/>
    </xf>
    <xf numFmtId="0" fontId="1" fillId="8" borderId="38" xfId="0" applyFont="1" applyFill="1" applyBorder="1" applyAlignment="1">
      <alignment wrapText="1"/>
    </xf>
    <xf numFmtId="164" fontId="0" fillId="15" borderId="39" xfId="1" applyFont="1" applyFill="1" applyBorder="1" applyAlignment="1">
      <alignment wrapText="1"/>
    </xf>
    <xf numFmtId="164" fontId="0" fillId="15" borderId="2" xfId="1" applyFont="1" applyFill="1" applyBorder="1" applyAlignment="1">
      <alignment wrapText="1"/>
    </xf>
    <xf numFmtId="164" fontId="5" fillId="14" borderId="40" xfId="1" applyFont="1" applyFill="1" applyBorder="1" applyAlignment="1">
      <alignment wrapText="1"/>
    </xf>
    <xf numFmtId="0" fontId="0" fillId="4" borderId="38" xfId="0" applyFill="1" applyBorder="1" applyAlignment="1">
      <alignment wrapText="1"/>
    </xf>
    <xf numFmtId="0" fontId="0" fillId="9" borderId="38" xfId="0" applyFill="1" applyBorder="1" applyAlignment="1">
      <alignment wrapText="1"/>
    </xf>
    <xf numFmtId="164" fontId="5" fillId="14" borderId="37" xfId="1" applyFont="1" applyFill="1" applyBorder="1" applyAlignment="1">
      <alignment wrapText="1"/>
    </xf>
    <xf numFmtId="0" fontId="0" fillId="10" borderId="39" xfId="0" applyFill="1" applyBorder="1" applyAlignment="1">
      <alignment wrapText="1"/>
    </xf>
    <xf numFmtId="164" fontId="5" fillId="14" borderId="2" xfId="1" applyFont="1" applyFill="1" applyBorder="1" applyAlignment="1">
      <alignment wrapText="1"/>
    </xf>
    <xf numFmtId="164" fontId="0" fillId="6" borderId="2" xfId="1" applyFont="1" applyFill="1" applyBorder="1" applyAlignment="1">
      <alignment wrapText="1"/>
    </xf>
    <xf numFmtId="164" fontId="5" fillId="16" borderId="26" xfId="1" applyFont="1" applyFill="1" applyBorder="1" applyAlignment="1">
      <alignment wrapText="1"/>
    </xf>
    <xf numFmtId="164" fontId="0" fillId="5" borderId="38" xfId="1" applyFont="1" applyFill="1" applyBorder="1" applyAlignment="1">
      <alignment wrapText="1"/>
    </xf>
    <xf numFmtId="164" fontId="5" fillId="16" borderId="37" xfId="1" applyFont="1" applyFill="1" applyBorder="1" applyAlignment="1">
      <alignment wrapText="1"/>
    </xf>
    <xf numFmtId="164" fontId="0" fillId="2" borderId="38" xfId="1" applyFont="1" applyFill="1" applyBorder="1" applyAlignment="1">
      <alignment wrapText="1"/>
    </xf>
    <xf numFmtId="164" fontId="0" fillId="3" borderId="38" xfId="1" applyFont="1" applyFill="1" applyBorder="1" applyAlignment="1">
      <alignment wrapText="1"/>
    </xf>
    <xf numFmtId="164" fontId="0" fillId="0" borderId="39" xfId="1" applyFont="1" applyBorder="1"/>
    <xf numFmtId="164" fontId="1" fillId="12" borderId="41" xfId="0" applyNumberFormat="1" applyFont="1" applyFill="1" applyBorder="1"/>
    <xf numFmtId="0" fontId="1" fillId="12" borderId="3" xfId="0" applyFont="1" applyFill="1" applyBorder="1"/>
    <xf numFmtId="164" fontId="0" fillId="0" borderId="0" xfId="1" applyFont="1" applyBorder="1" applyAlignment="1">
      <alignment wrapText="1"/>
    </xf>
    <xf numFmtId="164" fontId="0" fillId="0" borderId="3" xfId="1" applyFont="1" applyBorder="1" applyAlignment="1">
      <alignment horizontal="left" wrapText="1"/>
    </xf>
    <xf numFmtId="164" fontId="1" fillId="0" borderId="3" xfId="1" applyFont="1" applyBorder="1" applyAlignment="1">
      <alignment horizontal="center" wrapText="1"/>
    </xf>
    <xf numFmtId="164" fontId="0" fillId="7" borderId="3" xfId="1" applyFont="1" applyFill="1" applyBorder="1" applyAlignment="1">
      <alignment wrapText="1"/>
    </xf>
    <xf numFmtId="164" fontId="1" fillId="8" borderId="3" xfId="1" applyFont="1" applyFill="1" applyBorder="1"/>
    <xf numFmtId="164" fontId="0" fillId="15" borderId="3" xfId="1" applyFont="1" applyFill="1" applyBorder="1"/>
    <xf numFmtId="164" fontId="0" fillId="4" borderId="3" xfId="1" applyFont="1" applyFill="1" applyBorder="1"/>
    <xf numFmtId="164" fontId="0" fillId="9" borderId="3" xfId="1" applyFont="1" applyFill="1" applyBorder="1"/>
    <xf numFmtId="164" fontId="0" fillId="10" borderId="3" xfId="1" applyFont="1" applyFill="1" applyBorder="1"/>
    <xf numFmtId="164" fontId="0" fillId="6" borderId="3" xfId="1" applyFont="1" applyFill="1" applyBorder="1"/>
    <xf numFmtId="164" fontId="0" fillId="5" borderId="3" xfId="1" applyFont="1" applyFill="1" applyBorder="1"/>
    <xf numFmtId="164" fontId="0" fillId="2" borderId="3" xfId="1" applyFont="1" applyFill="1" applyBorder="1"/>
    <xf numFmtId="164" fontId="0" fillId="3" borderId="3" xfId="1" applyFont="1" applyFill="1" applyBorder="1"/>
    <xf numFmtId="164" fontId="1" fillId="12" borderId="3" xfId="1" applyFont="1" applyFill="1" applyBorder="1"/>
    <xf numFmtId="164" fontId="0" fillId="0" borderId="6" xfId="1" applyFont="1" applyBorder="1"/>
    <xf numFmtId="164" fontId="0" fillId="0" borderId="0" xfId="1" applyFont="1" applyBorder="1"/>
    <xf numFmtId="164" fontId="0" fillId="17" borderId="3" xfId="1" applyFont="1" applyFill="1" applyBorder="1"/>
    <xf numFmtId="0" fontId="0" fillId="18" borderId="3" xfId="0" applyFill="1" applyBorder="1"/>
    <xf numFmtId="0" fontId="0" fillId="18" borderId="4" xfId="0" applyFill="1" applyBorder="1"/>
    <xf numFmtId="164" fontId="0" fillId="18" borderId="3" xfId="1" applyFont="1" applyFill="1" applyBorder="1"/>
    <xf numFmtId="164" fontId="0" fillId="18" borderId="26" xfId="1" applyFont="1" applyFill="1" applyBorder="1" applyAlignment="1">
      <alignment wrapText="1"/>
    </xf>
    <xf numFmtId="0" fontId="0" fillId="18" borderId="3" xfId="0" applyFill="1" applyBorder="1" applyAlignment="1">
      <alignment wrapText="1"/>
    </xf>
    <xf numFmtId="0" fontId="0" fillId="18" borderId="6" xfId="0" applyFill="1" applyBorder="1" applyAlignment="1">
      <alignment wrapText="1"/>
    </xf>
    <xf numFmtId="164" fontId="0" fillId="18" borderId="6" xfId="1" applyFont="1" applyFill="1" applyBorder="1" applyAlignment="1">
      <alignment wrapText="1"/>
    </xf>
    <xf numFmtId="0" fontId="0" fillId="18" borderId="0" xfId="0" applyFill="1"/>
    <xf numFmtId="164" fontId="5" fillId="14" borderId="42" xfId="1" applyFont="1" applyFill="1" applyBorder="1" applyAlignment="1">
      <alignment wrapText="1"/>
    </xf>
    <xf numFmtId="164" fontId="5" fillId="14" borderId="37" xfId="1" applyFont="1" applyFill="1" applyBorder="1"/>
    <xf numFmtId="164" fontId="7" fillId="0" borderId="3" xfId="1" applyFont="1" applyBorder="1"/>
    <xf numFmtId="0" fontId="0" fillId="12" borderId="3" xfId="0" applyFill="1" applyBorder="1"/>
    <xf numFmtId="164" fontId="1" fillId="12" borderId="3" xfId="0" applyNumberFormat="1" applyFont="1" applyFill="1" applyBorder="1"/>
    <xf numFmtId="0" fontId="0" fillId="12" borderId="4" xfId="0" applyFill="1" applyBorder="1"/>
    <xf numFmtId="0" fontId="4" fillId="19" borderId="6" xfId="0" applyFont="1" applyFill="1" applyBorder="1" applyAlignment="1">
      <alignment wrapText="1"/>
    </xf>
    <xf numFmtId="0" fontId="0" fillId="19" borderId="3" xfId="0" applyFill="1" applyBorder="1"/>
    <xf numFmtId="0" fontId="0" fillId="19" borderId="0" xfId="0" applyFill="1"/>
    <xf numFmtId="0" fontId="0" fillId="19" borderId="6" xfId="0" applyFill="1" applyBorder="1"/>
    <xf numFmtId="0" fontId="4" fillId="13" borderId="2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4" fillId="7" borderId="38" xfId="0" applyFont="1" applyFill="1" applyBorder="1" applyAlignment="1">
      <alignment wrapText="1"/>
    </xf>
    <xf numFmtId="0" fontId="4" fillId="13" borderId="39" xfId="0" applyFont="1" applyFill="1" applyBorder="1" applyAlignment="1">
      <alignment wrapText="1"/>
    </xf>
    <xf numFmtId="0" fontId="4" fillId="13" borderId="1" xfId="0" applyFont="1" applyFill="1" applyBorder="1" applyAlignment="1">
      <alignment wrapText="1"/>
    </xf>
    <xf numFmtId="0" fontId="0" fillId="13" borderId="2" xfId="0" applyFill="1" applyBorder="1" applyAlignment="1">
      <alignment wrapText="1"/>
    </xf>
    <xf numFmtId="0" fontId="0" fillId="13" borderId="2" xfId="0" applyFill="1" applyBorder="1"/>
    <xf numFmtId="0" fontId="5" fillId="8" borderId="38" xfId="0" applyFont="1" applyFill="1" applyBorder="1" applyAlignment="1">
      <alignment wrapText="1"/>
    </xf>
    <xf numFmtId="0" fontId="0" fillId="15" borderId="39" xfId="0" applyFill="1" applyBorder="1"/>
    <xf numFmtId="0" fontId="1" fillId="4" borderId="38" xfId="0" applyFont="1" applyFill="1" applyBorder="1"/>
    <xf numFmtId="0" fontId="0" fillId="18" borderId="2" xfId="0" applyFill="1" applyBorder="1"/>
    <xf numFmtId="0" fontId="1" fillId="9" borderId="38" xfId="0" applyFont="1" applyFill="1" applyBorder="1"/>
    <xf numFmtId="0" fontId="1" fillId="10" borderId="2" xfId="0" applyFont="1" applyFill="1" applyBorder="1"/>
    <xf numFmtId="0" fontId="0" fillId="2" borderId="3" xfId="0" applyFill="1" applyBorder="1"/>
    <xf numFmtId="0" fontId="1" fillId="6" borderId="2" xfId="0" applyFont="1" applyFill="1" applyBorder="1"/>
    <xf numFmtId="0" fontId="1" fillId="5" borderId="38" xfId="0" applyFont="1" applyFill="1" applyBorder="1"/>
    <xf numFmtId="0" fontId="1" fillId="2" borderId="38" xfId="0" applyFont="1" applyFill="1" applyBorder="1"/>
    <xf numFmtId="0" fontId="1" fillId="3" borderId="38" xfId="0" applyFont="1" applyFill="1" applyBorder="1"/>
    <xf numFmtId="0" fontId="1" fillId="12" borderId="41" xfId="0" applyFont="1" applyFill="1" applyBorder="1"/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43" fontId="0" fillId="2" borderId="3" xfId="0" applyNumberFormat="1" applyFill="1" applyBorder="1" applyAlignment="1">
      <alignment wrapText="1"/>
    </xf>
    <xf numFmtId="0" fontId="0" fillId="2" borderId="3" xfId="0" applyFill="1" applyBorder="1" applyAlignment="1">
      <alignment wrapText="1"/>
    </xf>
    <xf numFmtId="164" fontId="7" fillId="2" borderId="0" xfId="1" applyFont="1" applyFill="1" applyBorder="1" applyAlignment="1">
      <alignment wrapText="1"/>
    </xf>
    <xf numFmtId="164" fontId="11" fillId="2" borderId="26" xfId="1" applyFont="1" applyFill="1" applyBorder="1" applyAlignment="1">
      <alignment wrapText="1"/>
    </xf>
    <xf numFmtId="43" fontId="11" fillId="2" borderId="26" xfId="0" applyNumberFormat="1" applyFont="1" applyFill="1" applyBorder="1" applyAlignment="1">
      <alignment wrapText="1"/>
    </xf>
    <xf numFmtId="0" fontId="0" fillId="2" borderId="26" xfId="0" applyFill="1" applyBorder="1" applyAlignment="1">
      <alignment wrapText="1"/>
    </xf>
    <xf numFmtId="164" fontId="0" fillId="2" borderId="7" xfId="1" applyFont="1" applyFill="1" applyBorder="1" applyAlignment="1">
      <alignment wrapText="1"/>
    </xf>
    <xf numFmtId="0" fontId="0" fillId="2" borderId="7" xfId="0" applyFill="1" applyBorder="1" applyAlignment="1">
      <alignment wrapText="1"/>
    </xf>
    <xf numFmtId="0" fontId="0" fillId="2" borderId="6" xfId="0" applyFill="1" applyBorder="1" applyAlignment="1">
      <alignment wrapText="1"/>
    </xf>
    <xf numFmtId="164" fontId="11" fillId="2" borderId="3" xfId="1" applyFont="1" applyFill="1" applyBorder="1" applyAlignment="1">
      <alignment wrapText="1"/>
    </xf>
    <xf numFmtId="164" fontId="11" fillId="2" borderId="3" xfId="1" applyFont="1" applyFill="1" applyBorder="1"/>
    <xf numFmtId="164" fontId="11" fillId="2" borderId="3" xfId="0" applyNumberFormat="1" applyFont="1" applyFill="1" applyBorder="1"/>
    <xf numFmtId="164" fontId="1" fillId="2" borderId="29" xfId="1" applyFont="1" applyFill="1" applyBorder="1" applyAlignment="1">
      <alignment wrapText="1"/>
    </xf>
    <xf numFmtId="0" fontId="0" fillId="2" borderId="7" xfId="0" applyFill="1" applyBorder="1"/>
    <xf numFmtId="164" fontId="0" fillId="2" borderId="7" xfId="1" applyFont="1" applyFill="1" applyBorder="1"/>
    <xf numFmtId="164" fontId="11" fillId="2" borderId="26" xfId="0" applyNumberFormat="1" applyFont="1" applyFill="1" applyBorder="1"/>
    <xf numFmtId="0" fontId="0" fillId="2" borderId="26" xfId="0" applyFill="1" applyBorder="1"/>
    <xf numFmtId="164" fontId="0" fillId="2" borderId="6" xfId="1" applyFont="1" applyFill="1" applyBorder="1" applyAlignment="1">
      <alignment wrapText="1"/>
    </xf>
    <xf numFmtId="164" fontId="11" fillId="2" borderId="26" xfId="1" applyFont="1" applyFill="1" applyBorder="1"/>
    <xf numFmtId="0" fontId="1" fillId="16" borderId="13" xfId="0" applyFont="1" applyFill="1" applyBorder="1" applyAlignment="1">
      <alignment horizontal="center" wrapText="1"/>
    </xf>
    <xf numFmtId="0" fontId="1" fillId="16" borderId="32" xfId="0" applyFont="1" applyFill="1" applyBorder="1" applyAlignment="1">
      <alignment horizontal="center" wrapText="1"/>
    </xf>
    <xf numFmtId="0" fontId="1" fillId="16" borderId="7" xfId="0" applyFont="1" applyFill="1" applyBorder="1" applyAlignment="1">
      <alignment horizontal="center" wrapText="1"/>
    </xf>
    <xf numFmtId="0" fontId="1" fillId="16" borderId="33" xfId="0" applyFont="1" applyFill="1" applyBorder="1" applyAlignment="1">
      <alignment horizontal="center" wrapText="1"/>
    </xf>
    <xf numFmtId="164" fontId="0" fillId="16" borderId="3" xfId="1" applyFont="1" applyFill="1" applyBorder="1" applyAlignment="1">
      <alignment wrapText="1"/>
    </xf>
    <xf numFmtId="0" fontId="0" fillId="16" borderId="4" xfId="0" applyFill="1" applyBorder="1" applyAlignment="1">
      <alignment wrapText="1"/>
    </xf>
    <xf numFmtId="164" fontId="0" fillId="16" borderId="4" xfId="1" applyFont="1" applyFill="1" applyBorder="1" applyAlignment="1">
      <alignment wrapText="1"/>
    </xf>
    <xf numFmtId="0" fontId="0" fillId="16" borderId="3" xfId="0" applyFill="1" applyBorder="1" applyAlignment="1">
      <alignment wrapText="1"/>
    </xf>
    <xf numFmtId="0" fontId="0" fillId="16" borderId="26" xfId="0" applyFill="1" applyBorder="1" applyAlignment="1">
      <alignment wrapText="1"/>
    </xf>
    <xf numFmtId="164" fontId="11" fillId="16" borderId="6" xfId="1" applyFont="1" applyFill="1" applyBorder="1" applyAlignment="1">
      <alignment wrapText="1"/>
    </xf>
    <xf numFmtId="164" fontId="11" fillId="16" borderId="8" xfId="1" applyFont="1" applyFill="1" applyBorder="1" applyAlignment="1">
      <alignment wrapText="1"/>
    </xf>
    <xf numFmtId="0" fontId="0" fillId="16" borderId="8" xfId="0" applyFill="1" applyBorder="1" applyAlignment="1">
      <alignment wrapText="1"/>
    </xf>
    <xf numFmtId="0" fontId="0" fillId="16" borderId="29" xfId="0" applyFill="1" applyBorder="1" applyAlignment="1">
      <alignment wrapText="1"/>
    </xf>
    <xf numFmtId="0" fontId="0" fillId="16" borderId="34" xfId="0" applyFill="1" applyBorder="1" applyAlignment="1">
      <alignment wrapText="1"/>
    </xf>
    <xf numFmtId="164" fontId="0" fillId="16" borderId="7" xfId="1" applyFont="1" applyFill="1" applyBorder="1" applyAlignment="1">
      <alignment wrapText="1"/>
    </xf>
    <xf numFmtId="0" fontId="0" fillId="16" borderId="7" xfId="0" applyFill="1" applyBorder="1" applyAlignment="1">
      <alignment wrapText="1"/>
    </xf>
    <xf numFmtId="164" fontId="0" fillId="16" borderId="33" xfId="1" applyFont="1" applyFill="1" applyBorder="1" applyAlignment="1">
      <alignment wrapText="1"/>
    </xf>
    <xf numFmtId="0" fontId="0" fillId="16" borderId="33" xfId="0" applyFill="1" applyBorder="1" applyAlignment="1">
      <alignment wrapText="1"/>
    </xf>
    <xf numFmtId="0" fontId="0" fillId="16" borderId="3" xfId="0" applyFill="1" applyBorder="1"/>
    <xf numFmtId="0" fontId="0" fillId="16" borderId="4" xfId="0" applyFill="1" applyBorder="1"/>
    <xf numFmtId="164" fontId="0" fillId="16" borderId="3" xfId="1" applyFont="1" applyFill="1" applyBorder="1"/>
    <xf numFmtId="164" fontId="11" fillId="16" borderId="3" xfId="1" applyFont="1" applyFill="1" applyBorder="1"/>
    <xf numFmtId="164" fontId="11" fillId="16" borderId="4" xfId="0" applyNumberFormat="1" applyFont="1" applyFill="1" applyBorder="1"/>
    <xf numFmtId="0" fontId="1" fillId="16" borderId="29" xfId="0" applyFont="1" applyFill="1" applyBorder="1"/>
    <xf numFmtId="0" fontId="1" fillId="16" borderId="34" xfId="0" applyFont="1" applyFill="1" applyBorder="1"/>
    <xf numFmtId="164" fontId="0" fillId="16" borderId="7" xfId="1" applyFont="1" applyFill="1" applyBorder="1"/>
    <xf numFmtId="0" fontId="0" fillId="16" borderId="7" xfId="0" applyFill="1" applyBorder="1"/>
    <xf numFmtId="164" fontId="0" fillId="16" borderId="33" xfId="1" applyFont="1" applyFill="1" applyBorder="1"/>
    <xf numFmtId="0" fontId="0" fillId="16" borderId="33" xfId="0" applyFill="1" applyBorder="1"/>
    <xf numFmtId="0" fontId="0" fillId="16" borderId="29" xfId="0" applyFill="1" applyBorder="1"/>
    <xf numFmtId="0" fontId="0" fillId="16" borderId="34" xfId="0" applyFill="1" applyBorder="1"/>
    <xf numFmtId="164" fontId="11" fillId="16" borderId="26" xfId="0" applyNumberFormat="1" applyFont="1" applyFill="1" applyBorder="1"/>
    <xf numFmtId="164" fontId="11" fillId="16" borderId="6" xfId="0" applyNumberFormat="1" applyFont="1" applyFill="1" applyBorder="1"/>
    <xf numFmtId="164" fontId="11" fillId="16" borderId="8" xfId="0" applyNumberFormat="1" applyFont="1" applyFill="1" applyBorder="1"/>
    <xf numFmtId="0" fontId="0" fillId="16" borderId="8" xfId="0" applyFill="1" applyBorder="1"/>
    <xf numFmtId="164" fontId="0" fillId="16" borderId="4" xfId="1" applyFont="1" applyFill="1" applyBorder="1"/>
    <xf numFmtId="0" fontId="0" fillId="16" borderId="26" xfId="0" applyFill="1" applyBorder="1"/>
    <xf numFmtId="164" fontId="11" fillId="16" borderId="6" xfId="1" applyFont="1" applyFill="1" applyBorder="1"/>
    <xf numFmtId="0" fontId="1" fillId="7" borderId="32" xfId="0" applyFont="1" applyFill="1" applyBorder="1" applyAlignment="1">
      <alignment horizontal="center" wrapText="1"/>
    </xf>
    <xf numFmtId="0" fontId="1" fillId="7" borderId="35" xfId="0" applyFont="1" applyFill="1" applyBorder="1" applyAlignment="1">
      <alignment horizontal="center" wrapText="1"/>
    </xf>
    <xf numFmtId="0" fontId="1" fillId="7" borderId="33" xfId="0" applyFont="1" applyFill="1" applyBorder="1" applyAlignment="1">
      <alignment horizontal="center" wrapText="1"/>
    </xf>
    <xf numFmtId="0" fontId="0" fillId="7" borderId="4" xfId="0" applyFill="1" applyBorder="1" applyAlignment="1">
      <alignment wrapText="1"/>
    </xf>
    <xf numFmtId="0" fontId="8" fillId="7" borderId="4" xfId="0" applyFont="1" applyFill="1" applyBorder="1" applyAlignment="1">
      <alignment wrapText="1"/>
    </xf>
    <xf numFmtId="0" fontId="0" fillId="7" borderId="8" xfId="0" applyFill="1" applyBorder="1" applyAlignment="1">
      <alignment wrapText="1"/>
    </xf>
    <xf numFmtId="0" fontId="8" fillId="7" borderId="8" xfId="0" applyFont="1" applyFill="1" applyBorder="1" applyAlignment="1">
      <alignment wrapText="1"/>
    </xf>
    <xf numFmtId="0" fontId="0" fillId="7" borderId="33" xfId="0" applyFill="1" applyBorder="1" applyAlignment="1">
      <alignment wrapText="1"/>
    </xf>
    <xf numFmtId="0" fontId="8" fillId="7" borderId="33" xfId="0" applyFont="1" applyFill="1" applyBorder="1" applyAlignment="1">
      <alignment wrapText="1"/>
    </xf>
    <xf numFmtId="0" fontId="0" fillId="7" borderId="4" xfId="0" applyFill="1" applyBorder="1"/>
    <xf numFmtId="0" fontId="8" fillId="7" borderId="4" xfId="0" applyFont="1" applyFill="1" applyBorder="1"/>
    <xf numFmtId="0" fontId="1" fillId="7" borderId="34" xfId="0" applyFont="1" applyFill="1" applyBorder="1"/>
    <xf numFmtId="0" fontId="9" fillId="7" borderId="34" xfId="0" applyFont="1" applyFill="1" applyBorder="1"/>
    <xf numFmtId="0" fontId="0" fillId="7" borderId="33" xfId="0" applyFill="1" applyBorder="1"/>
    <xf numFmtId="164" fontId="8" fillId="7" borderId="33" xfId="1" applyFont="1" applyFill="1" applyBorder="1"/>
    <xf numFmtId="0" fontId="0" fillId="7" borderId="34" xfId="0" applyFill="1" applyBorder="1"/>
    <xf numFmtId="0" fontId="8" fillId="7" borderId="34" xfId="0" applyFont="1" applyFill="1" applyBorder="1"/>
    <xf numFmtId="164" fontId="0" fillId="7" borderId="33" xfId="1" applyFont="1" applyFill="1" applyBorder="1"/>
    <xf numFmtId="9" fontId="8" fillId="7" borderId="4" xfId="2" applyFont="1" applyFill="1" applyBorder="1"/>
    <xf numFmtId="164" fontId="8" fillId="7" borderId="4" xfId="1" applyFont="1" applyFill="1" applyBorder="1"/>
    <xf numFmtId="164" fontId="11" fillId="7" borderId="8" xfId="0" applyNumberFormat="1" applyFont="1" applyFill="1" applyBorder="1"/>
    <xf numFmtId="164" fontId="8" fillId="7" borderId="8" xfId="0" applyNumberFormat="1" applyFont="1" applyFill="1" applyBorder="1"/>
    <xf numFmtId="0" fontId="8" fillId="7" borderId="8" xfId="0" applyFont="1" applyFill="1" applyBorder="1"/>
    <xf numFmtId="0" fontId="8" fillId="7" borderId="33" xfId="0" applyFont="1" applyFill="1" applyBorder="1"/>
    <xf numFmtId="164" fontId="11" fillId="7" borderId="4" xfId="1" applyFont="1" applyFill="1" applyBorder="1"/>
    <xf numFmtId="164" fontId="8" fillId="7" borderId="4" xfId="0" applyNumberFormat="1" applyFont="1" applyFill="1" applyBorder="1"/>
    <xf numFmtId="164" fontId="0" fillId="7" borderId="4" xfId="1" applyFont="1" applyFill="1" applyBorder="1"/>
    <xf numFmtId="0" fontId="0" fillId="7" borderId="8" xfId="0" applyFill="1" applyBorder="1"/>
    <xf numFmtId="164" fontId="8" fillId="7" borderId="8" xfId="1" applyFont="1" applyFill="1" applyBorder="1"/>
    <xf numFmtId="0" fontId="1" fillId="3" borderId="3" xfId="0" applyFont="1" applyFill="1" applyBorder="1" applyAlignment="1">
      <alignment horizontal="center" wrapText="1"/>
    </xf>
    <xf numFmtId="0" fontId="0" fillId="3" borderId="3" xfId="0" applyFill="1" applyBorder="1"/>
    <xf numFmtId="164" fontId="11" fillId="3" borderId="3" xfId="1" applyFont="1" applyFill="1" applyBorder="1"/>
    <xf numFmtId="0" fontId="8" fillId="3" borderId="34" xfId="0" applyFont="1" applyFill="1" applyBorder="1" applyAlignment="1">
      <alignment wrapText="1"/>
    </xf>
    <xf numFmtId="0" fontId="9" fillId="3" borderId="34" xfId="0" applyFont="1" applyFill="1" applyBorder="1"/>
    <xf numFmtId="164" fontId="11" fillId="3" borderId="3" xfId="0" applyNumberFormat="1" applyFont="1" applyFill="1" applyBorder="1"/>
    <xf numFmtId="0" fontId="8" fillId="3" borderId="4" xfId="0" applyFont="1" applyFill="1" applyBorder="1"/>
    <xf numFmtId="164" fontId="11" fillId="3" borderId="3" xfId="1" applyFont="1" applyFill="1" applyBorder="1" applyAlignment="1">
      <alignment horizontal="center"/>
    </xf>
    <xf numFmtId="0" fontId="1" fillId="19" borderId="0" xfId="0" applyFont="1" applyFill="1"/>
    <xf numFmtId="164" fontId="7" fillId="2" borderId="3" xfId="1" applyFont="1" applyFill="1" applyBorder="1"/>
    <xf numFmtId="164" fontId="7" fillId="16" borderId="3" xfId="1" applyFont="1" applyFill="1" applyBorder="1"/>
    <xf numFmtId="164" fontId="7" fillId="16" borderId="4" xfId="0" applyNumberFormat="1" applyFont="1" applyFill="1" applyBorder="1"/>
    <xf numFmtId="0" fontId="1" fillId="16" borderId="4" xfId="0" applyFont="1" applyFill="1" applyBorder="1"/>
    <xf numFmtId="164" fontId="7" fillId="7" borderId="4" xfId="0" applyNumberFormat="1" applyFont="1" applyFill="1" applyBorder="1"/>
    <xf numFmtId="164" fontId="9" fillId="7" borderId="4" xfId="1" applyFont="1" applyFill="1" applyBorder="1"/>
    <xf numFmtId="164" fontId="9" fillId="7" borderId="4" xfId="0" applyNumberFormat="1" applyFont="1" applyFill="1" applyBorder="1"/>
    <xf numFmtId="164" fontId="7" fillId="3" borderId="3" xfId="1" applyFont="1" applyFill="1" applyBorder="1"/>
    <xf numFmtId="164" fontId="7" fillId="3" borderId="3" xfId="0" applyNumberFormat="1" applyFont="1" applyFill="1" applyBorder="1"/>
    <xf numFmtId="0" fontId="1" fillId="3" borderId="3" xfId="0" applyFont="1" applyFill="1" applyBorder="1"/>
    <xf numFmtId="0" fontId="1" fillId="19" borderId="3" xfId="0" applyFont="1" applyFill="1" applyBorder="1"/>
    <xf numFmtId="164" fontId="0" fillId="16" borderId="6" xfId="1" applyFont="1" applyFill="1" applyBorder="1" applyAlignment="1">
      <alignment wrapText="1"/>
    </xf>
    <xf numFmtId="164" fontId="7" fillId="2" borderId="3" xfId="0" applyNumberFormat="1" applyFont="1" applyFill="1" applyBorder="1"/>
    <xf numFmtId="14" fontId="0" fillId="15" borderId="3" xfId="0" applyNumberFormat="1" applyFill="1" applyBorder="1" applyAlignment="1">
      <alignment wrapText="1"/>
    </xf>
    <xf numFmtId="164" fontId="0" fillId="18" borderId="3" xfId="1" applyFont="1" applyFill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7" borderId="32" xfId="0" applyFont="1" applyFill="1" applyBorder="1" applyAlignment="1">
      <alignment horizontal="center" wrapText="1"/>
    </xf>
    <xf numFmtId="0" fontId="1" fillId="7" borderId="33" xfId="0" applyFont="1" applyFill="1" applyBorder="1" applyAlignment="1">
      <alignment horizontal="center" wrapText="1"/>
    </xf>
    <xf numFmtId="0" fontId="1" fillId="0" borderId="13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1" fillId="2" borderId="1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16" borderId="13" xfId="0" applyFont="1" applyFill="1" applyBorder="1" applyAlignment="1">
      <alignment horizontal="center" wrapText="1"/>
    </xf>
    <xf numFmtId="0" fontId="1" fillId="16" borderId="7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1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" fillId="0" borderId="43" xfId="0" applyFont="1" applyBorder="1" applyAlignment="1">
      <alignment horizontal="left" wrapText="1"/>
    </xf>
    <xf numFmtId="0" fontId="1" fillId="0" borderId="39" xfId="0" applyFont="1" applyBorder="1" applyAlignment="1">
      <alignment horizontal="left" wrapText="1"/>
    </xf>
    <xf numFmtId="0" fontId="1" fillId="0" borderId="32" xfId="0" applyFont="1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  <xf numFmtId="0" fontId="1" fillId="0" borderId="44" xfId="0" applyFont="1" applyBorder="1" applyAlignment="1">
      <alignment horizontal="center" wrapText="1"/>
    </xf>
    <xf numFmtId="0" fontId="1" fillId="0" borderId="45" xfId="0" applyFont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D777-1DBA-41A1-872F-3569A8BA0767}">
  <dimension ref="A1:FI289"/>
  <sheetViews>
    <sheetView topLeftCell="A10" zoomScaleNormal="100" workbookViewId="0">
      <selection activeCell="F10" sqref="F10"/>
    </sheetView>
  </sheetViews>
  <sheetFormatPr defaultRowHeight="14.5" x14ac:dyDescent="0.35"/>
  <cols>
    <col min="1" max="1" width="3" bestFit="1" customWidth="1"/>
    <col min="2" max="2" width="36.7265625" customWidth="1"/>
    <col min="3" max="3" width="4.1796875" bestFit="1" customWidth="1"/>
    <col min="4" max="4" width="11" bestFit="1" customWidth="1"/>
    <col min="5" max="5" width="16.453125" bestFit="1" customWidth="1"/>
    <col min="6" max="6" width="11.26953125" customWidth="1"/>
    <col min="7" max="7" width="14.81640625" bestFit="1" customWidth="1"/>
    <col min="8" max="8" width="10.453125" customWidth="1"/>
    <col min="9" max="9" width="14" bestFit="1" customWidth="1"/>
    <col min="10" max="10" width="11.54296875" customWidth="1"/>
    <col min="11" max="11" width="16.54296875" bestFit="1" customWidth="1"/>
    <col min="12" max="12" width="11.81640625" customWidth="1"/>
    <col min="13" max="13" width="12.1796875" customWidth="1"/>
    <col min="14" max="14" width="22.1796875" bestFit="1" customWidth="1"/>
  </cols>
  <sheetData>
    <row r="1" spans="1:14" ht="18.75" customHeight="1" x14ac:dyDescent="0.45">
      <c r="A1" s="392"/>
      <c r="B1" s="392"/>
      <c r="C1" s="392"/>
      <c r="D1" s="392"/>
      <c r="E1" s="1" t="s">
        <v>0</v>
      </c>
      <c r="F1" s="1" t="s">
        <v>1</v>
      </c>
      <c r="G1" s="1"/>
      <c r="H1" s="1"/>
      <c r="I1" s="1"/>
      <c r="J1" s="2"/>
      <c r="K1" s="3" t="s">
        <v>2</v>
      </c>
      <c r="L1" s="4" t="s">
        <v>3</v>
      </c>
      <c r="M1" s="1"/>
      <c r="N1" s="1"/>
    </row>
    <row r="2" spans="1:14" x14ac:dyDescent="0.35">
      <c r="A2" s="5"/>
      <c r="B2" s="393" t="s">
        <v>4</v>
      </c>
      <c r="C2" s="394"/>
      <c r="D2" s="395"/>
      <c r="E2" s="6"/>
      <c r="F2" s="7">
        <v>79</v>
      </c>
      <c r="G2" s="5"/>
      <c r="H2" s="5"/>
      <c r="I2" s="5"/>
      <c r="J2" s="8"/>
      <c r="K2" s="9"/>
      <c r="L2" s="7"/>
      <c r="M2" s="5"/>
      <c r="N2" s="5"/>
    </row>
    <row r="3" spans="1:14" x14ac:dyDescent="0.35">
      <c r="A3" s="5"/>
      <c r="B3" s="393" t="s">
        <v>5</v>
      </c>
      <c r="C3" s="394"/>
      <c r="D3" s="395"/>
      <c r="E3" s="6"/>
      <c r="F3" s="7"/>
      <c r="G3" s="5"/>
      <c r="H3" s="5"/>
      <c r="I3" s="5"/>
      <c r="J3" s="5"/>
      <c r="K3" s="5"/>
      <c r="L3" s="5"/>
      <c r="M3" s="5"/>
      <c r="N3" s="5"/>
    </row>
    <row r="4" spans="1:14" x14ac:dyDescent="0.35">
      <c r="A4" s="5"/>
      <c r="B4" s="393" t="s">
        <v>6</v>
      </c>
      <c r="C4" s="394"/>
      <c r="D4" s="395"/>
      <c r="E4" s="6"/>
      <c r="F4" s="7"/>
      <c r="G4" s="5"/>
      <c r="H4" s="10"/>
      <c r="I4" s="5"/>
      <c r="J4" s="5"/>
      <c r="K4" s="5"/>
      <c r="L4" s="5"/>
      <c r="M4" s="5"/>
      <c r="N4" s="5"/>
    </row>
    <row r="5" spans="1:14" x14ac:dyDescent="0.35">
      <c r="A5" s="5"/>
      <c r="B5" s="393" t="s">
        <v>7</v>
      </c>
      <c r="C5" s="394"/>
      <c r="D5" s="395"/>
      <c r="E5" s="6"/>
      <c r="F5" s="7"/>
      <c r="G5" s="5"/>
      <c r="H5" s="5"/>
      <c r="I5" s="5"/>
      <c r="J5" s="5"/>
      <c r="K5" s="5"/>
      <c r="L5" s="5"/>
      <c r="M5" s="5"/>
      <c r="N5" s="5"/>
    </row>
    <row r="6" spans="1:14" ht="15" thickBot="1" x14ac:dyDescent="0.4">
      <c r="A6" s="25"/>
      <c r="B6" s="13" t="s">
        <v>23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7" spans="1:14" x14ac:dyDescent="0.35">
      <c r="A7" s="26"/>
      <c r="B7" s="390" t="s">
        <v>8</v>
      </c>
      <c r="C7" s="388" t="s">
        <v>9</v>
      </c>
      <c r="D7" s="388" t="s">
        <v>10</v>
      </c>
      <c r="E7" s="387" t="s">
        <v>11</v>
      </c>
      <c r="F7" s="387"/>
      <c r="G7" s="387" t="s">
        <v>12</v>
      </c>
      <c r="H7" s="387"/>
      <c r="I7" s="387" t="s">
        <v>13</v>
      </c>
      <c r="J7" s="387"/>
      <c r="K7" s="387" t="s">
        <v>14</v>
      </c>
      <c r="L7" s="387" t="s">
        <v>38</v>
      </c>
      <c r="M7" s="388" t="s">
        <v>15</v>
      </c>
      <c r="N7" s="385" t="s">
        <v>16</v>
      </c>
    </row>
    <row r="8" spans="1:14" x14ac:dyDescent="0.35">
      <c r="A8" s="27"/>
      <c r="B8" s="391"/>
      <c r="C8" s="389"/>
      <c r="D8" s="389"/>
      <c r="E8" s="11" t="s">
        <v>17</v>
      </c>
      <c r="F8" s="11" t="s">
        <v>18</v>
      </c>
      <c r="G8" s="11" t="s">
        <v>17</v>
      </c>
      <c r="H8" s="11" t="s">
        <v>19</v>
      </c>
      <c r="I8" s="11" t="s">
        <v>17</v>
      </c>
      <c r="J8" s="11" t="s">
        <v>19</v>
      </c>
      <c r="K8" s="375"/>
      <c r="L8" s="375"/>
      <c r="M8" s="389"/>
      <c r="N8" s="386"/>
    </row>
    <row r="9" spans="1:14" x14ac:dyDescent="0.35">
      <c r="A9" s="28">
        <v>1</v>
      </c>
      <c r="B9" s="35" t="s">
        <v>33</v>
      </c>
      <c r="C9" s="36" t="s">
        <v>20</v>
      </c>
      <c r="D9" s="36" t="s">
        <v>54</v>
      </c>
      <c r="E9" s="37">
        <v>1500</v>
      </c>
      <c r="F9" s="36" t="s">
        <v>65</v>
      </c>
      <c r="G9" s="37">
        <v>1000</v>
      </c>
      <c r="H9" s="36" t="s">
        <v>247</v>
      </c>
      <c r="I9" s="36"/>
      <c r="J9" s="36"/>
      <c r="K9" s="37">
        <f>2400-(E9+G9+I9)</f>
        <v>-100</v>
      </c>
      <c r="L9" s="36"/>
      <c r="M9" s="36"/>
      <c r="N9" s="112"/>
    </row>
    <row r="10" spans="1:14" x14ac:dyDescent="0.35">
      <c r="A10" s="28"/>
      <c r="B10" s="35" t="s">
        <v>286</v>
      </c>
      <c r="C10" s="36"/>
      <c r="D10" s="36"/>
      <c r="E10" s="37"/>
      <c r="F10" s="36"/>
      <c r="G10" s="37"/>
      <c r="H10" s="36"/>
      <c r="I10" s="36"/>
      <c r="J10" s="36"/>
      <c r="K10" s="37"/>
      <c r="L10" s="36"/>
      <c r="M10" s="36"/>
      <c r="N10" s="112"/>
    </row>
    <row r="11" spans="1:14" x14ac:dyDescent="0.35">
      <c r="A11" s="28">
        <v>2</v>
      </c>
      <c r="B11" s="35" t="s">
        <v>34</v>
      </c>
      <c r="C11" s="36" t="s">
        <v>20</v>
      </c>
      <c r="D11" s="36" t="s">
        <v>54</v>
      </c>
      <c r="E11" s="37">
        <v>2400</v>
      </c>
      <c r="F11" s="36" t="s">
        <v>58</v>
      </c>
      <c r="G11" s="36"/>
      <c r="H11" s="36"/>
      <c r="I11" s="36"/>
      <c r="J11" s="36"/>
      <c r="K11" s="37">
        <f t="shared" ref="K11:K34" si="0">2400-(E11+G11+I11)</f>
        <v>0</v>
      </c>
      <c r="L11" s="36"/>
      <c r="M11" s="36"/>
      <c r="N11" s="112"/>
    </row>
    <row r="12" spans="1:14" x14ac:dyDescent="0.35">
      <c r="A12" s="28">
        <v>3</v>
      </c>
      <c r="B12" s="35" t="s">
        <v>35</v>
      </c>
      <c r="C12" s="36" t="s">
        <v>20</v>
      </c>
      <c r="D12" s="36" t="s">
        <v>54</v>
      </c>
      <c r="E12" s="37">
        <v>2400</v>
      </c>
      <c r="F12" s="36" t="s">
        <v>230</v>
      </c>
      <c r="G12" s="36"/>
      <c r="H12" s="36"/>
      <c r="I12" s="36"/>
      <c r="J12" s="36"/>
      <c r="K12" s="37">
        <f t="shared" si="0"/>
        <v>0</v>
      </c>
      <c r="L12" s="36"/>
      <c r="M12" s="36"/>
      <c r="N12" s="112"/>
    </row>
    <row r="13" spans="1:14" x14ac:dyDescent="0.35">
      <c r="A13" s="28">
        <v>4</v>
      </c>
      <c r="B13" s="35" t="s">
        <v>36</v>
      </c>
      <c r="C13" s="36" t="s">
        <v>20</v>
      </c>
      <c r="D13" s="36" t="s">
        <v>54</v>
      </c>
      <c r="E13" s="37"/>
      <c r="F13" s="36"/>
      <c r="G13" s="36"/>
      <c r="H13" s="36"/>
      <c r="I13" s="36"/>
      <c r="J13" s="36"/>
      <c r="K13" s="37">
        <v>0</v>
      </c>
      <c r="L13" s="36"/>
      <c r="M13" s="36"/>
      <c r="N13" s="112" t="s">
        <v>232</v>
      </c>
    </row>
    <row r="14" spans="1:14" x14ac:dyDescent="0.35">
      <c r="A14" s="28">
        <v>5</v>
      </c>
      <c r="B14" s="35" t="s">
        <v>37</v>
      </c>
      <c r="C14" s="36" t="s">
        <v>20</v>
      </c>
      <c r="D14" s="36" t="s">
        <v>54</v>
      </c>
      <c r="E14" s="37">
        <v>2400</v>
      </c>
      <c r="F14" s="36" t="s">
        <v>131</v>
      </c>
      <c r="G14" s="36"/>
      <c r="H14" s="36"/>
      <c r="I14" s="36"/>
      <c r="J14" s="36"/>
      <c r="K14" s="37">
        <f t="shared" ref="K14:K26" si="1">2400-(E14+G14+I14)</f>
        <v>0</v>
      </c>
      <c r="L14" s="36"/>
      <c r="M14" s="36"/>
      <c r="N14" s="112"/>
    </row>
    <row r="15" spans="1:14" x14ac:dyDescent="0.35">
      <c r="A15" s="28">
        <v>6</v>
      </c>
      <c r="B15" s="35" t="s">
        <v>39</v>
      </c>
      <c r="C15" s="36" t="s">
        <v>20</v>
      </c>
      <c r="D15" s="36" t="s">
        <v>54</v>
      </c>
      <c r="E15" s="37">
        <v>2400</v>
      </c>
      <c r="F15" s="36" t="s">
        <v>50</v>
      </c>
      <c r="G15" s="36"/>
      <c r="H15" s="36"/>
      <c r="I15" s="36"/>
      <c r="J15" s="36"/>
      <c r="K15" s="37">
        <f t="shared" si="1"/>
        <v>0</v>
      </c>
      <c r="L15" s="36"/>
      <c r="M15" s="36"/>
      <c r="N15" s="112"/>
    </row>
    <row r="16" spans="1:14" x14ac:dyDescent="0.35">
      <c r="A16" s="28">
        <v>7</v>
      </c>
      <c r="B16" s="35" t="s">
        <v>40</v>
      </c>
      <c r="C16" s="36" t="s">
        <v>20</v>
      </c>
      <c r="D16" s="36" t="s">
        <v>54</v>
      </c>
      <c r="E16" s="37">
        <v>1200</v>
      </c>
      <c r="F16" s="36" t="s">
        <v>141</v>
      </c>
      <c r="G16" s="36"/>
      <c r="H16" s="36"/>
      <c r="I16" s="36"/>
      <c r="J16" s="36"/>
      <c r="K16" s="37">
        <f t="shared" si="1"/>
        <v>1200</v>
      </c>
      <c r="L16" s="36"/>
      <c r="M16" s="36"/>
      <c r="N16" s="112"/>
    </row>
    <row r="17" spans="1:14" x14ac:dyDescent="0.35">
      <c r="A17" s="28">
        <v>8</v>
      </c>
      <c r="B17" s="35" t="s">
        <v>41</v>
      </c>
      <c r="C17" s="36" t="s">
        <v>20</v>
      </c>
      <c r="D17" s="36" t="s">
        <v>54</v>
      </c>
      <c r="E17" s="37">
        <v>2400</v>
      </c>
      <c r="F17" s="36" t="s">
        <v>244</v>
      </c>
      <c r="G17" s="36"/>
      <c r="H17" s="36"/>
      <c r="I17" s="36"/>
      <c r="J17" s="36"/>
      <c r="K17" s="37">
        <f t="shared" si="1"/>
        <v>0</v>
      </c>
      <c r="L17" s="36"/>
      <c r="M17" s="36"/>
      <c r="N17" s="112"/>
    </row>
    <row r="18" spans="1:14" x14ac:dyDescent="0.35">
      <c r="A18" s="28">
        <v>9</v>
      </c>
      <c r="B18" s="35" t="s">
        <v>42</v>
      </c>
      <c r="C18" s="36" t="s">
        <v>20</v>
      </c>
      <c r="D18" s="36" t="s">
        <v>54</v>
      </c>
      <c r="E18" s="37">
        <v>1400</v>
      </c>
      <c r="F18" s="36" t="s">
        <v>64</v>
      </c>
      <c r="G18" s="37">
        <v>1000</v>
      </c>
      <c r="H18" s="36" t="s">
        <v>276</v>
      </c>
      <c r="I18" s="36"/>
      <c r="J18" s="36"/>
      <c r="K18" s="37">
        <f t="shared" si="1"/>
        <v>0</v>
      </c>
      <c r="L18" s="36"/>
      <c r="M18" s="36"/>
      <c r="N18" s="112"/>
    </row>
    <row r="19" spans="1:14" x14ac:dyDescent="0.35">
      <c r="A19" s="28">
        <v>10</v>
      </c>
      <c r="B19" s="35" t="s">
        <v>43</v>
      </c>
      <c r="C19" s="36" t="s">
        <v>20</v>
      </c>
      <c r="D19" s="36" t="s">
        <v>54</v>
      </c>
      <c r="E19" s="37">
        <v>1100</v>
      </c>
      <c r="F19" s="36" t="s">
        <v>63</v>
      </c>
      <c r="G19" s="36"/>
      <c r="H19" s="36"/>
      <c r="I19" s="36"/>
      <c r="J19" s="36"/>
      <c r="K19" s="37">
        <f t="shared" si="1"/>
        <v>1300</v>
      </c>
      <c r="L19" s="36"/>
      <c r="M19" s="36"/>
      <c r="N19" s="112"/>
    </row>
    <row r="20" spans="1:14" x14ac:dyDescent="0.35">
      <c r="A20" s="28">
        <v>11</v>
      </c>
      <c r="B20" s="35" t="s">
        <v>44</v>
      </c>
      <c r="C20" s="36" t="s">
        <v>20</v>
      </c>
      <c r="D20" s="36" t="s">
        <v>54</v>
      </c>
      <c r="E20" s="37">
        <v>2160</v>
      </c>
      <c r="F20" s="36" t="s">
        <v>274</v>
      </c>
      <c r="G20" s="36"/>
      <c r="H20" s="36"/>
      <c r="I20" s="36"/>
      <c r="J20" s="36"/>
      <c r="K20" s="37">
        <f t="shared" si="1"/>
        <v>240</v>
      </c>
      <c r="L20" s="36"/>
      <c r="M20" s="36"/>
      <c r="N20" s="112"/>
    </row>
    <row r="21" spans="1:14" x14ac:dyDescent="0.35">
      <c r="A21" s="28">
        <v>12</v>
      </c>
      <c r="B21" s="35" t="s">
        <v>45</v>
      </c>
      <c r="C21" s="36" t="s">
        <v>22</v>
      </c>
      <c r="D21" s="36" t="s">
        <v>54</v>
      </c>
      <c r="E21" s="37"/>
      <c r="F21" s="36"/>
      <c r="G21" s="36"/>
      <c r="H21" s="36"/>
      <c r="I21" s="36"/>
      <c r="J21" s="36"/>
      <c r="K21" s="37">
        <f t="shared" si="1"/>
        <v>2400</v>
      </c>
      <c r="L21" s="36"/>
      <c r="M21" s="36"/>
      <c r="N21" s="112"/>
    </row>
    <row r="22" spans="1:14" x14ac:dyDescent="0.35">
      <c r="A22" s="28">
        <v>13</v>
      </c>
      <c r="B22" s="35" t="s">
        <v>46</v>
      </c>
      <c r="C22" s="36" t="s">
        <v>22</v>
      </c>
      <c r="D22" s="36" t="s">
        <v>54</v>
      </c>
      <c r="E22" s="37">
        <v>2000</v>
      </c>
      <c r="F22" s="36" t="s">
        <v>147</v>
      </c>
      <c r="G22" s="36"/>
      <c r="H22" s="36"/>
      <c r="I22" s="36"/>
      <c r="J22" s="36"/>
      <c r="K22" s="37">
        <f t="shared" si="1"/>
        <v>400</v>
      </c>
      <c r="L22" s="36"/>
      <c r="M22" s="36"/>
      <c r="N22" s="112"/>
    </row>
    <row r="23" spans="1:14" x14ac:dyDescent="0.35">
      <c r="A23" s="28">
        <v>14</v>
      </c>
      <c r="B23" s="38" t="s">
        <v>52</v>
      </c>
      <c r="C23" s="36" t="s">
        <v>22</v>
      </c>
      <c r="D23" s="36" t="s">
        <v>54</v>
      </c>
      <c r="E23" s="37">
        <v>2400</v>
      </c>
      <c r="F23" s="36" t="s">
        <v>66</v>
      </c>
      <c r="G23" s="36"/>
      <c r="H23" s="36"/>
      <c r="I23" s="36"/>
      <c r="J23" s="36"/>
      <c r="K23" s="37">
        <f t="shared" si="1"/>
        <v>0</v>
      </c>
      <c r="L23" s="36"/>
      <c r="M23" s="36"/>
      <c r="N23" s="112"/>
    </row>
    <row r="24" spans="1:14" x14ac:dyDescent="0.35">
      <c r="A24" s="28">
        <v>15</v>
      </c>
      <c r="B24" s="35" t="s">
        <v>47</v>
      </c>
      <c r="C24" s="36" t="s">
        <v>22</v>
      </c>
      <c r="D24" s="36" t="s">
        <v>54</v>
      </c>
      <c r="E24" s="37">
        <v>2400</v>
      </c>
      <c r="F24" s="36" t="s">
        <v>147</v>
      </c>
      <c r="G24" s="36"/>
      <c r="H24" s="36"/>
      <c r="I24" s="36"/>
      <c r="J24" s="36"/>
      <c r="K24" s="37">
        <f t="shared" si="1"/>
        <v>0</v>
      </c>
      <c r="L24" s="36"/>
      <c r="M24" s="36"/>
      <c r="N24" s="112"/>
    </row>
    <row r="25" spans="1:14" x14ac:dyDescent="0.35">
      <c r="A25" s="28">
        <v>16</v>
      </c>
      <c r="B25" s="35" t="s">
        <v>48</v>
      </c>
      <c r="C25" s="36" t="s">
        <v>22</v>
      </c>
      <c r="D25" s="36" t="s">
        <v>54</v>
      </c>
      <c r="E25" s="37">
        <v>2160</v>
      </c>
      <c r="F25" s="36" t="s">
        <v>116</v>
      </c>
      <c r="G25" s="36"/>
      <c r="H25" s="36"/>
      <c r="I25" s="36"/>
      <c r="J25" s="36"/>
      <c r="K25" s="37">
        <f t="shared" si="1"/>
        <v>240</v>
      </c>
      <c r="L25" s="36"/>
      <c r="M25" s="36"/>
      <c r="N25" s="112"/>
    </row>
    <row r="26" spans="1:14" x14ac:dyDescent="0.35">
      <c r="A26" s="29">
        <v>17</v>
      </c>
      <c r="B26" s="35" t="s">
        <v>49</v>
      </c>
      <c r="C26" s="36" t="s">
        <v>22</v>
      </c>
      <c r="D26" s="36" t="s">
        <v>21</v>
      </c>
      <c r="E26" s="37"/>
      <c r="F26" s="36"/>
      <c r="G26" s="36"/>
      <c r="H26" s="36"/>
      <c r="I26" s="36"/>
      <c r="J26" s="36"/>
      <c r="K26" s="37">
        <f t="shared" si="1"/>
        <v>2400</v>
      </c>
      <c r="L26" s="36"/>
      <c r="M26" s="36"/>
      <c r="N26" s="112"/>
    </row>
    <row r="27" spans="1:14" x14ac:dyDescent="0.35">
      <c r="A27" s="28">
        <v>18</v>
      </c>
      <c r="B27" s="12"/>
      <c r="C27" s="7"/>
      <c r="D27" s="7"/>
      <c r="E27" s="23"/>
      <c r="F27" s="7"/>
      <c r="G27" s="7"/>
      <c r="H27" s="7"/>
      <c r="I27" s="7"/>
      <c r="J27" s="7"/>
      <c r="K27" s="23"/>
      <c r="L27" s="7"/>
      <c r="M27" s="7"/>
      <c r="N27" s="113"/>
    </row>
    <row r="28" spans="1:14" x14ac:dyDescent="0.35">
      <c r="A28" s="28">
        <f t="shared" ref="A28:A57" si="2">A27+1</f>
        <v>19</v>
      </c>
      <c r="B28" s="12"/>
      <c r="C28" s="7"/>
      <c r="D28" s="7"/>
      <c r="E28" s="23"/>
      <c r="F28" s="7"/>
      <c r="G28" s="7"/>
      <c r="H28" s="7"/>
      <c r="I28" s="7"/>
      <c r="J28" s="7"/>
      <c r="K28" s="23"/>
      <c r="L28" s="7"/>
      <c r="M28" s="7"/>
      <c r="N28" s="113"/>
    </row>
    <row r="29" spans="1:14" ht="15" thickBot="1" x14ac:dyDescent="0.4">
      <c r="A29" s="28">
        <f t="shared" si="2"/>
        <v>20</v>
      </c>
      <c r="B29" s="12"/>
      <c r="C29" s="7"/>
      <c r="D29" s="7"/>
      <c r="E29" s="46"/>
      <c r="F29" s="7"/>
      <c r="G29" s="7"/>
      <c r="H29" s="7"/>
      <c r="I29" s="7"/>
      <c r="J29" s="7"/>
      <c r="K29" s="46"/>
      <c r="L29" s="7"/>
      <c r="M29" s="7"/>
      <c r="N29" s="113"/>
    </row>
    <row r="30" spans="1:14" ht="15" thickBot="1" x14ac:dyDescent="0.4">
      <c r="A30" s="102"/>
      <c r="B30" s="103"/>
      <c r="C30" s="56"/>
      <c r="D30" s="88"/>
      <c r="E30" s="48">
        <f>SUM(E9:E29)</f>
        <v>28320</v>
      </c>
      <c r="F30" s="55"/>
      <c r="G30" s="56"/>
      <c r="H30" s="56"/>
      <c r="I30" s="56"/>
      <c r="J30" s="88"/>
      <c r="K30" s="92">
        <f>SUM(K9:K29)</f>
        <v>8080</v>
      </c>
      <c r="L30" s="55"/>
      <c r="M30" s="56"/>
      <c r="N30" s="114"/>
    </row>
    <row r="31" spans="1:14" ht="15" thickBot="1" x14ac:dyDescent="0.4">
      <c r="A31" s="108"/>
      <c r="B31" s="109" t="s">
        <v>24</v>
      </c>
      <c r="C31" s="110"/>
      <c r="D31" s="110"/>
      <c r="E31" s="110"/>
      <c r="F31" s="110"/>
      <c r="G31" s="110"/>
      <c r="H31" s="110"/>
      <c r="I31" s="110"/>
      <c r="J31" s="110"/>
      <c r="K31" s="111"/>
      <c r="L31" s="110"/>
      <c r="M31" s="110"/>
      <c r="N31" s="115"/>
    </row>
    <row r="32" spans="1:14" x14ac:dyDescent="0.35">
      <c r="A32" s="104">
        <f t="shared" si="2"/>
        <v>1</v>
      </c>
      <c r="B32" s="105" t="s">
        <v>71</v>
      </c>
      <c r="C32" s="106" t="s">
        <v>22</v>
      </c>
      <c r="D32" s="106" t="s">
        <v>54</v>
      </c>
      <c r="E32" s="107">
        <v>2400</v>
      </c>
      <c r="F32" s="106" t="s">
        <v>62</v>
      </c>
      <c r="G32" s="106"/>
      <c r="H32" s="106"/>
      <c r="I32" s="106"/>
      <c r="J32" s="106"/>
      <c r="K32" s="107">
        <f>2400-(E32+G32+I32)</f>
        <v>0</v>
      </c>
      <c r="L32" s="106"/>
      <c r="M32" s="106"/>
      <c r="N32" s="116"/>
    </row>
    <row r="33" spans="1:165" x14ac:dyDescent="0.35">
      <c r="A33" s="39">
        <f t="shared" si="2"/>
        <v>2</v>
      </c>
      <c r="B33" s="35" t="s">
        <v>72</v>
      </c>
      <c r="C33" s="36" t="s">
        <v>22</v>
      </c>
      <c r="D33" s="36" t="s">
        <v>54</v>
      </c>
      <c r="E33" s="37">
        <v>1200</v>
      </c>
      <c r="F33" s="36" t="s">
        <v>63</v>
      </c>
      <c r="G33" s="36"/>
      <c r="H33" s="36"/>
      <c r="I33" s="36"/>
      <c r="J33" s="36"/>
      <c r="K33" s="37">
        <f t="shared" si="0"/>
        <v>1200</v>
      </c>
      <c r="L33" s="36"/>
      <c r="M33" s="36"/>
      <c r="N33" s="112"/>
    </row>
    <row r="34" spans="1:165" x14ac:dyDescent="0.35">
      <c r="A34" s="39">
        <f t="shared" si="2"/>
        <v>3</v>
      </c>
      <c r="B34" s="35" t="s">
        <v>73</v>
      </c>
      <c r="C34" s="36" t="s">
        <v>22</v>
      </c>
      <c r="D34" s="36" t="s">
        <v>54</v>
      </c>
      <c r="E34" s="37">
        <v>1200</v>
      </c>
      <c r="F34" s="36" t="s">
        <v>250</v>
      </c>
      <c r="G34" s="36"/>
      <c r="H34" s="36"/>
      <c r="I34" s="36"/>
      <c r="J34" s="36"/>
      <c r="K34" s="37">
        <f t="shared" si="0"/>
        <v>1200</v>
      </c>
      <c r="L34" s="36"/>
      <c r="M34" s="36"/>
      <c r="N34" s="112"/>
    </row>
    <row r="35" spans="1:165" x14ac:dyDescent="0.35">
      <c r="A35" s="39">
        <f t="shared" si="2"/>
        <v>4</v>
      </c>
      <c r="B35" s="35" t="s">
        <v>74</v>
      </c>
      <c r="C35" s="36" t="s">
        <v>22</v>
      </c>
      <c r="D35" s="36" t="s">
        <v>54</v>
      </c>
      <c r="E35" s="37"/>
      <c r="F35" s="36"/>
      <c r="G35" s="36"/>
      <c r="H35" s="36"/>
      <c r="I35" s="36"/>
      <c r="J35" s="36"/>
      <c r="K35" s="37">
        <f t="shared" ref="K35:K94" si="3">2400-(E35+G35+I35)</f>
        <v>2400</v>
      </c>
      <c r="L35" s="36"/>
      <c r="M35" s="36"/>
      <c r="N35" s="112"/>
    </row>
    <row r="36" spans="1:165" x14ac:dyDescent="0.35">
      <c r="A36" s="39">
        <f t="shared" si="2"/>
        <v>5</v>
      </c>
      <c r="B36" s="38" t="s">
        <v>75</v>
      </c>
      <c r="C36" s="40" t="s">
        <v>22</v>
      </c>
      <c r="D36" s="36" t="s">
        <v>54</v>
      </c>
      <c r="E36" s="37"/>
      <c r="F36" s="36"/>
      <c r="G36" s="36"/>
      <c r="H36" s="36"/>
      <c r="I36" s="36"/>
      <c r="J36" s="36"/>
      <c r="K36" s="37">
        <f t="shared" si="3"/>
        <v>2400</v>
      </c>
      <c r="L36" s="40"/>
      <c r="M36" s="40"/>
      <c r="N36" s="117"/>
    </row>
    <row r="37" spans="1:165" s="14" customFormat="1" x14ac:dyDescent="0.35">
      <c r="A37" s="39">
        <f t="shared" si="2"/>
        <v>6</v>
      </c>
      <c r="B37" s="36" t="s">
        <v>76</v>
      </c>
      <c r="C37" s="36" t="s">
        <v>22</v>
      </c>
      <c r="D37" s="36" t="s">
        <v>54</v>
      </c>
      <c r="E37" s="37"/>
      <c r="F37" s="36"/>
      <c r="G37" s="36"/>
      <c r="H37" s="36"/>
      <c r="I37" s="36"/>
      <c r="J37" s="36"/>
      <c r="K37" s="37">
        <f t="shared" si="3"/>
        <v>2400</v>
      </c>
      <c r="L37" s="36"/>
      <c r="M37" s="36"/>
      <c r="N37" s="112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</row>
    <row r="38" spans="1:165" s="14" customFormat="1" x14ac:dyDescent="0.35">
      <c r="A38" s="39">
        <f t="shared" si="2"/>
        <v>7</v>
      </c>
      <c r="B38" s="36" t="s">
        <v>77</v>
      </c>
      <c r="C38" s="36" t="s">
        <v>22</v>
      </c>
      <c r="D38" s="36" t="s">
        <v>54</v>
      </c>
      <c r="E38" s="37">
        <v>1200</v>
      </c>
      <c r="F38" s="36" t="s">
        <v>67</v>
      </c>
      <c r="G38" s="36"/>
      <c r="H38" s="36"/>
      <c r="I38" s="36"/>
      <c r="J38" s="36"/>
      <c r="K38" s="37">
        <f t="shared" si="3"/>
        <v>1200</v>
      </c>
      <c r="L38" s="36"/>
      <c r="M38" s="36"/>
      <c r="N38" s="112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</row>
    <row r="39" spans="1:165" s="14" customFormat="1" x14ac:dyDescent="0.35">
      <c r="A39" s="39">
        <f t="shared" si="2"/>
        <v>8</v>
      </c>
      <c r="B39" s="41" t="s">
        <v>78</v>
      </c>
      <c r="C39" s="41" t="s">
        <v>22</v>
      </c>
      <c r="D39" s="36" t="s">
        <v>54</v>
      </c>
      <c r="E39" s="37">
        <v>2400</v>
      </c>
      <c r="F39" s="36" t="s">
        <v>64</v>
      </c>
      <c r="G39" s="36"/>
      <c r="H39" s="36"/>
      <c r="I39" s="36"/>
      <c r="J39" s="36"/>
      <c r="K39" s="37">
        <f t="shared" si="3"/>
        <v>0</v>
      </c>
      <c r="L39" s="41"/>
      <c r="M39" s="41"/>
      <c r="N39" s="118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</row>
    <row r="40" spans="1:165" s="14" customFormat="1" x14ac:dyDescent="0.35">
      <c r="A40" s="39">
        <f t="shared" si="2"/>
        <v>9</v>
      </c>
      <c r="B40" s="41" t="s">
        <v>79</v>
      </c>
      <c r="C40" s="41" t="s">
        <v>22</v>
      </c>
      <c r="D40" s="36" t="s">
        <v>54</v>
      </c>
      <c r="E40" s="37">
        <v>2400</v>
      </c>
      <c r="F40" s="36"/>
      <c r="G40" s="36"/>
      <c r="H40" s="36"/>
      <c r="I40" s="36"/>
      <c r="J40" s="36"/>
      <c r="K40" s="37">
        <f t="shared" si="3"/>
        <v>0</v>
      </c>
      <c r="L40" s="41"/>
      <c r="M40" s="41"/>
      <c r="N40" s="118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</row>
    <row r="41" spans="1:165" s="14" customFormat="1" x14ac:dyDescent="0.35">
      <c r="A41" s="39">
        <f t="shared" si="2"/>
        <v>10</v>
      </c>
      <c r="B41" s="41" t="s">
        <v>80</v>
      </c>
      <c r="C41" s="41" t="s">
        <v>22</v>
      </c>
      <c r="D41" s="36" t="s">
        <v>54</v>
      </c>
      <c r="E41" s="37">
        <v>1200</v>
      </c>
      <c r="F41" s="36" t="s">
        <v>262</v>
      </c>
      <c r="G41" s="36"/>
      <c r="H41" s="36"/>
      <c r="I41" s="36"/>
      <c r="J41" s="36"/>
      <c r="K41" s="37">
        <f t="shared" si="3"/>
        <v>1200</v>
      </c>
      <c r="L41" s="41"/>
      <c r="M41" s="41"/>
      <c r="N41" s="118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</row>
    <row r="42" spans="1:165" s="14" customFormat="1" x14ac:dyDescent="0.35">
      <c r="A42" s="39">
        <f t="shared" si="2"/>
        <v>11</v>
      </c>
      <c r="B42" s="41" t="s">
        <v>81</v>
      </c>
      <c r="C42" s="41" t="s">
        <v>22</v>
      </c>
      <c r="D42" s="36" t="s">
        <v>54</v>
      </c>
      <c r="E42" s="37">
        <v>1000</v>
      </c>
      <c r="F42" s="36" t="s">
        <v>136</v>
      </c>
      <c r="G42" s="36"/>
      <c r="H42" s="36"/>
      <c r="I42" s="36"/>
      <c r="J42" s="36"/>
      <c r="K42" s="37">
        <f t="shared" si="3"/>
        <v>1400</v>
      </c>
      <c r="L42" s="41"/>
      <c r="M42" s="41"/>
      <c r="N42" s="118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</row>
    <row r="43" spans="1:165" s="14" customFormat="1" x14ac:dyDescent="0.35">
      <c r="A43" s="39">
        <f t="shared" si="2"/>
        <v>12</v>
      </c>
      <c r="B43" s="41" t="s">
        <v>82</v>
      </c>
      <c r="C43" s="41" t="s">
        <v>20</v>
      </c>
      <c r="D43" s="36" t="s">
        <v>54</v>
      </c>
      <c r="E43" s="37">
        <v>2400</v>
      </c>
      <c r="F43" s="36" t="s">
        <v>136</v>
      </c>
      <c r="G43" s="36"/>
      <c r="H43" s="36"/>
      <c r="I43" s="36"/>
      <c r="J43" s="36"/>
      <c r="K43" s="37">
        <f t="shared" si="3"/>
        <v>0</v>
      </c>
      <c r="L43" s="41"/>
      <c r="M43" s="41"/>
      <c r="N43" s="118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</row>
    <row r="44" spans="1:165" s="14" customFormat="1" x14ac:dyDescent="0.35">
      <c r="A44" s="39">
        <f t="shared" si="2"/>
        <v>13</v>
      </c>
      <c r="B44" s="41" t="s">
        <v>83</v>
      </c>
      <c r="C44" s="41" t="s">
        <v>20</v>
      </c>
      <c r="D44" s="36" t="s">
        <v>54</v>
      </c>
      <c r="E44" s="37">
        <v>1200</v>
      </c>
      <c r="F44" s="36" t="s">
        <v>65</v>
      </c>
      <c r="G44" s="36"/>
      <c r="H44" s="36"/>
      <c r="I44" s="36"/>
      <c r="J44" s="36"/>
      <c r="K44" s="37">
        <f t="shared" si="3"/>
        <v>1200</v>
      </c>
      <c r="L44" s="41"/>
      <c r="M44" s="41"/>
      <c r="N44" s="118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</row>
    <row r="45" spans="1:165" s="14" customFormat="1" x14ac:dyDescent="0.35">
      <c r="A45" s="39">
        <f t="shared" si="2"/>
        <v>14</v>
      </c>
      <c r="B45" s="41" t="s">
        <v>84</v>
      </c>
      <c r="C45" s="41" t="s">
        <v>20</v>
      </c>
      <c r="D45" s="36" t="s">
        <v>54</v>
      </c>
      <c r="E45" s="37">
        <v>1400</v>
      </c>
      <c r="F45" s="36" t="s">
        <v>150</v>
      </c>
      <c r="G45" s="37">
        <v>1000</v>
      </c>
      <c r="H45" s="36" t="s">
        <v>281</v>
      </c>
      <c r="I45" s="36"/>
      <c r="J45" s="36"/>
      <c r="K45" s="37">
        <f t="shared" si="3"/>
        <v>0</v>
      </c>
      <c r="L45" s="41"/>
      <c r="M45" s="41"/>
      <c r="N45" s="118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</row>
    <row r="46" spans="1:165" s="14" customFormat="1" x14ac:dyDescent="0.35">
      <c r="A46" s="39">
        <f t="shared" si="2"/>
        <v>15</v>
      </c>
      <c r="B46" s="41" t="s">
        <v>85</v>
      </c>
      <c r="C46" s="41" t="s">
        <v>20</v>
      </c>
      <c r="D46" s="36" t="s">
        <v>54</v>
      </c>
      <c r="E46" s="37"/>
      <c r="F46" s="36"/>
      <c r="G46" s="36"/>
      <c r="H46" s="36"/>
      <c r="I46" s="36"/>
      <c r="J46" s="36"/>
      <c r="K46" s="37">
        <f t="shared" si="3"/>
        <v>2400</v>
      </c>
      <c r="L46" s="41"/>
      <c r="M46" s="41"/>
      <c r="N46" s="118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</row>
    <row r="47" spans="1:165" s="14" customFormat="1" x14ac:dyDescent="0.35">
      <c r="A47" s="39">
        <f t="shared" si="2"/>
        <v>16</v>
      </c>
      <c r="B47" s="41" t="s">
        <v>86</v>
      </c>
      <c r="C47" s="41" t="s">
        <v>20</v>
      </c>
      <c r="D47" s="36" t="s">
        <v>54</v>
      </c>
      <c r="E47" s="37">
        <v>1200</v>
      </c>
      <c r="F47" s="36" t="s">
        <v>141</v>
      </c>
      <c r="G47" s="36"/>
      <c r="H47" s="36"/>
      <c r="I47" s="36"/>
      <c r="J47" s="36"/>
      <c r="K47" s="37">
        <f t="shared" si="3"/>
        <v>1200</v>
      </c>
      <c r="L47" s="41"/>
      <c r="M47" s="41"/>
      <c r="N47" s="118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</row>
    <row r="48" spans="1:165" s="14" customFormat="1" x14ac:dyDescent="0.35">
      <c r="A48" s="39">
        <f t="shared" si="2"/>
        <v>17</v>
      </c>
      <c r="B48" s="41" t="s">
        <v>87</v>
      </c>
      <c r="C48" s="41" t="s">
        <v>20</v>
      </c>
      <c r="D48" s="36" t="s">
        <v>54</v>
      </c>
      <c r="E48" s="37"/>
      <c r="F48" s="36"/>
      <c r="G48" s="36"/>
      <c r="H48" s="36"/>
      <c r="I48" s="36"/>
      <c r="J48" s="36"/>
      <c r="K48" s="37">
        <v>0</v>
      </c>
      <c r="L48" s="41"/>
      <c r="M48" s="41"/>
      <c r="N48" s="118" t="s">
        <v>51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</row>
    <row r="49" spans="1:165" s="14" customFormat="1" x14ac:dyDescent="0.35">
      <c r="A49" s="39">
        <f t="shared" si="2"/>
        <v>18</v>
      </c>
      <c r="B49" s="41" t="s">
        <v>88</v>
      </c>
      <c r="C49" s="41" t="s">
        <v>20</v>
      </c>
      <c r="D49" s="36" t="s">
        <v>21</v>
      </c>
      <c r="E49" s="37">
        <v>1200</v>
      </c>
      <c r="F49" s="36" t="s">
        <v>136</v>
      </c>
      <c r="G49" s="37">
        <v>1200</v>
      </c>
      <c r="H49" s="36"/>
      <c r="I49" s="36"/>
      <c r="J49" s="36"/>
      <c r="K49" s="37">
        <f t="shared" si="3"/>
        <v>0</v>
      </c>
      <c r="L49" s="41"/>
      <c r="M49" s="41"/>
      <c r="N49" s="118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</row>
    <row r="50" spans="1:165" s="14" customFormat="1" x14ac:dyDescent="0.35">
      <c r="A50" s="39">
        <f t="shared" si="2"/>
        <v>19</v>
      </c>
      <c r="B50" s="41" t="s">
        <v>89</v>
      </c>
      <c r="C50" s="41" t="s">
        <v>20</v>
      </c>
      <c r="D50" s="36" t="s">
        <v>54</v>
      </c>
      <c r="E50" s="37">
        <v>1000</v>
      </c>
      <c r="F50" s="36" t="s">
        <v>58</v>
      </c>
      <c r="G50" s="37">
        <v>1000</v>
      </c>
      <c r="H50" s="36" t="s">
        <v>275</v>
      </c>
      <c r="I50" s="36"/>
      <c r="J50" s="36"/>
      <c r="K50" s="37">
        <f t="shared" si="3"/>
        <v>400</v>
      </c>
      <c r="L50" s="41"/>
      <c r="M50" s="41"/>
      <c r="N50" s="118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</row>
    <row r="51" spans="1:165" s="14" customFormat="1" x14ac:dyDescent="0.35">
      <c r="A51" s="39">
        <f t="shared" si="2"/>
        <v>20</v>
      </c>
      <c r="B51" s="41"/>
      <c r="C51" s="41" t="s">
        <v>20</v>
      </c>
      <c r="D51" s="36" t="s">
        <v>54</v>
      </c>
      <c r="E51" s="37"/>
      <c r="F51" s="36"/>
      <c r="G51" s="36"/>
      <c r="H51" s="36"/>
      <c r="I51" s="36"/>
      <c r="J51" s="36"/>
      <c r="K51" s="37">
        <v>0</v>
      </c>
      <c r="L51" s="41"/>
      <c r="M51" s="41"/>
      <c r="N51" s="118" t="s">
        <v>51</v>
      </c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</row>
    <row r="52" spans="1:165" s="14" customFormat="1" x14ac:dyDescent="0.35">
      <c r="A52" s="39">
        <f t="shared" si="2"/>
        <v>21</v>
      </c>
      <c r="B52" s="41" t="s">
        <v>90</v>
      </c>
      <c r="C52" s="41" t="s">
        <v>20</v>
      </c>
      <c r="D52" s="36" t="s">
        <v>54</v>
      </c>
      <c r="E52" s="37">
        <v>1200</v>
      </c>
      <c r="F52" s="36"/>
      <c r="G52" s="36"/>
      <c r="H52" s="36"/>
      <c r="I52" s="36"/>
      <c r="J52" s="36"/>
      <c r="K52" s="37">
        <f t="shared" si="3"/>
        <v>1200</v>
      </c>
      <c r="L52" s="41"/>
      <c r="M52" s="41"/>
      <c r="N52" s="118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</row>
    <row r="53" spans="1:165" s="14" customFormat="1" x14ac:dyDescent="0.35">
      <c r="A53" s="39">
        <f t="shared" si="2"/>
        <v>22</v>
      </c>
      <c r="B53" s="41" t="s">
        <v>91</v>
      </c>
      <c r="C53" s="41" t="s">
        <v>20</v>
      </c>
      <c r="D53" s="41" t="s">
        <v>54</v>
      </c>
      <c r="E53" s="37">
        <v>1200</v>
      </c>
      <c r="F53" s="36" t="s">
        <v>230</v>
      </c>
      <c r="G53" s="36"/>
      <c r="H53" s="36"/>
      <c r="I53" s="36"/>
      <c r="J53" s="36"/>
      <c r="K53" s="37">
        <f t="shared" si="3"/>
        <v>1200</v>
      </c>
      <c r="L53" s="41"/>
      <c r="M53" s="41"/>
      <c r="N53" s="118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</row>
    <row r="54" spans="1:165" s="14" customFormat="1" x14ac:dyDescent="0.35">
      <c r="A54" s="39">
        <f t="shared" si="2"/>
        <v>23</v>
      </c>
      <c r="B54" s="41" t="s">
        <v>110</v>
      </c>
      <c r="C54" s="41" t="s">
        <v>20</v>
      </c>
      <c r="D54" s="41" t="s">
        <v>54</v>
      </c>
      <c r="E54" s="37">
        <v>2400</v>
      </c>
      <c r="F54" s="36" t="s">
        <v>61</v>
      </c>
      <c r="G54" s="36"/>
      <c r="H54" s="36"/>
      <c r="I54" s="36"/>
      <c r="J54" s="36"/>
      <c r="K54" s="37">
        <f t="shared" si="3"/>
        <v>0</v>
      </c>
      <c r="L54" s="41"/>
      <c r="M54" s="41"/>
      <c r="N54" s="118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</row>
    <row r="55" spans="1:165" s="14" customFormat="1" x14ac:dyDescent="0.35">
      <c r="A55" s="39">
        <f t="shared" si="2"/>
        <v>24</v>
      </c>
      <c r="B55" s="41" t="s">
        <v>128</v>
      </c>
      <c r="C55" s="41" t="s">
        <v>20</v>
      </c>
      <c r="D55" s="41" t="s">
        <v>54</v>
      </c>
      <c r="E55" s="37">
        <v>2400</v>
      </c>
      <c r="F55" s="36" t="s">
        <v>50</v>
      </c>
      <c r="G55" s="36"/>
      <c r="H55" s="36"/>
      <c r="I55" s="36"/>
      <c r="J55" s="36"/>
      <c r="K55" s="37">
        <f t="shared" si="3"/>
        <v>0</v>
      </c>
      <c r="L55" s="41"/>
      <c r="M55" s="41"/>
      <c r="N55" s="118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</row>
    <row r="56" spans="1:165" s="14" customFormat="1" x14ac:dyDescent="0.35">
      <c r="A56" s="39">
        <f t="shared" si="2"/>
        <v>25</v>
      </c>
      <c r="B56" s="41" t="s">
        <v>138</v>
      </c>
      <c r="C56" s="41" t="s">
        <v>20</v>
      </c>
      <c r="D56" s="41" t="s">
        <v>54</v>
      </c>
      <c r="E56" s="37">
        <v>2400</v>
      </c>
      <c r="F56" s="36" t="s">
        <v>139</v>
      </c>
      <c r="G56" s="36"/>
      <c r="H56" s="36"/>
      <c r="I56" s="36"/>
      <c r="J56" s="36"/>
      <c r="K56" s="37">
        <f t="shared" si="3"/>
        <v>0</v>
      </c>
      <c r="L56" s="41"/>
      <c r="M56" s="41"/>
      <c r="N56" s="118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</row>
    <row r="57" spans="1:165" s="14" customFormat="1" x14ac:dyDescent="0.35">
      <c r="A57" s="39">
        <f t="shared" si="2"/>
        <v>26</v>
      </c>
      <c r="B57" s="41" t="s">
        <v>235</v>
      </c>
      <c r="C57" s="41" t="s">
        <v>20</v>
      </c>
      <c r="D57" s="41" t="s">
        <v>54</v>
      </c>
      <c r="E57" s="37">
        <v>1500</v>
      </c>
      <c r="F57" s="36" t="s">
        <v>116</v>
      </c>
      <c r="G57" s="36"/>
      <c r="H57" s="36"/>
      <c r="I57" s="36"/>
      <c r="J57" s="36"/>
      <c r="K57" s="37">
        <f t="shared" si="3"/>
        <v>900</v>
      </c>
      <c r="L57" s="41"/>
      <c r="M57" s="41"/>
      <c r="N57" s="118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</row>
    <row r="58" spans="1:165" s="14" customFormat="1" x14ac:dyDescent="0.35">
      <c r="A58" s="28"/>
      <c r="E58" s="23"/>
      <c r="F58" s="7"/>
      <c r="G58" s="7"/>
      <c r="H58" s="7"/>
      <c r="I58" s="7"/>
      <c r="J58" s="7"/>
      <c r="K58" s="23"/>
      <c r="N58" s="119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</row>
    <row r="59" spans="1:165" s="14" customFormat="1" ht="15" thickBot="1" x14ac:dyDescent="0.4">
      <c r="A59" s="28"/>
      <c r="E59" s="46"/>
      <c r="F59" s="7"/>
      <c r="G59" s="7"/>
      <c r="H59" s="7"/>
      <c r="I59" s="7"/>
      <c r="J59" s="7"/>
      <c r="K59" s="46"/>
      <c r="N59" s="11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</row>
    <row r="60" spans="1:165" s="14" customFormat="1" ht="15" thickBot="1" x14ac:dyDescent="0.4">
      <c r="A60" s="51"/>
      <c r="B60" s="52"/>
      <c r="C60" s="52"/>
      <c r="D60" s="53"/>
      <c r="E60" s="97">
        <f>SUM(E32:E59)</f>
        <v>32500</v>
      </c>
      <c r="F60" s="55"/>
      <c r="G60" s="56"/>
      <c r="H60" s="56"/>
      <c r="I60" s="56"/>
      <c r="J60" s="88"/>
      <c r="K60" s="92">
        <f>SUM(K32:K59)</f>
        <v>21900</v>
      </c>
      <c r="L60" s="89"/>
      <c r="M60" s="52"/>
      <c r="N60" s="12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</row>
    <row r="61" spans="1:165" s="14" customFormat="1" ht="15" thickBot="1" x14ac:dyDescent="0.4">
      <c r="A61" s="61"/>
      <c r="B61" s="98" t="s">
        <v>25</v>
      </c>
      <c r="C61" s="99"/>
      <c r="D61" s="99"/>
      <c r="E61" s="100"/>
      <c r="F61" s="100"/>
      <c r="G61" s="100"/>
      <c r="H61" s="100"/>
      <c r="I61" s="100"/>
      <c r="J61" s="100"/>
      <c r="K61" s="101">
        <f t="shared" si="3"/>
        <v>2400</v>
      </c>
      <c r="L61" s="99"/>
      <c r="M61" s="99"/>
      <c r="N61" s="12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</row>
    <row r="62" spans="1:165" s="14" customFormat="1" x14ac:dyDescent="0.35">
      <c r="A62" s="57">
        <v>1</v>
      </c>
      <c r="B62" s="58" t="s">
        <v>68</v>
      </c>
      <c r="C62" s="58" t="s">
        <v>20</v>
      </c>
      <c r="D62" s="58" t="s">
        <v>54</v>
      </c>
      <c r="E62" s="59">
        <v>1200</v>
      </c>
      <c r="F62" s="60" t="s">
        <v>58</v>
      </c>
      <c r="G62" s="59">
        <v>1200</v>
      </c>
      <c r="H62" s="60"/>
      <c r="I62" s="60"/>
      <c r="J62" s="60"/>
      <c r="K62" s="59">
        <f t="shared" si="3"/>
        <v>0</v>
      </c>
      <c r="L62" s="58"/>
      <c r="M62" s="58"/>
      <c r="N62" s="12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</row>
    <row r="63" spans="1:165" s="14" customFormat="1" x14ac:dyDescent="0.35">
      <c r="A63" s="42">
        <v>2</v>
      </c>
      <c r="B63" s="43" t="s">
        <v>92</v>
      </c>
      <c r="C63" s="43" t="s">
        <v>20</v>
      </c>
      <c r="D63" s="43" t="s">
        <v>54</v>
      </c>
      <c r="E63" s="44">
        <v>1200</v>
      </c>
      <c r="F63" s="45" t="s">
        <v>63</v>
      </c>
      <c r="G63" s="45"/>
      <c r="H63" s="45"/>
      <c r="I63" s="45"/>
      <c r="J63" s="45"/>
      <c r="K63" s="44">
        <f t="shared" si="3"/>
        <v>1200</v>
      </c>
      <c r="L63" s="43"/>
      <c r="M63" s="43"/>
      <c r="N63" s="12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</row>
    <row r="64" spans="1:165" s="14" customFormat="1" x14ac:dyDescent="0.35">
      <c r="A64" s="42">
        <v>3</v>
      </c>
      <c r="B64" s="43" t="s">
        <v>93</v>
      </c>
      <c r="C64" s="43" t="s">
        <v>20</v>
      </c>
      <c r="D64" s="43" t="s">
        <v>54</v>
      </c>
      <c r="E64" s="44">
        <v>1000</v>
      </c>
      <c r="F64" s="45" t="s">
        <v>116</v>
      </c>
      <c r="G64" s="45"/>
      <c r="H64" s="45"/>
      <c r="I64" s="45"/>
      <c r="J64" s="45"/>
      <c r="K64" s="44">
        <f t="shared" si="3"/>
        <v>1400</v>
      </c>
      <c r="L64" s="43"/>
      <c r="M64" s="43"/>
      <c r="N64" s="123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</row>
    <row r="65" spans="1:165" s="14" customFormat="1" x14ac:dyDescent="0.35">
      <c r="A65" s="42">
        <v>4</v>
      </c>
      <c r="B65" s="43" t="s">
        <v>94</v>
      </c>
      <c r="C65" s="43" t="s">
        <v>20</v>
      </c>
      <c r="D65" s="43" t="s">
        <v>21</v>
      </c>
      <c r="E65" s="44">
        <v>2160</v>
      </c>
      <c r="F65" s="45" t="s">
        <v>66</v>
      </c>
      <c r="G65" s="45"/>
      <c r="H65" s="45"/>
      <c r="I65" s="45"/>
      <c r="J65" s="45"/>
      <c r="K65" s="44">
        <f t="shared" si="3"/>
        <v>240</v>
      </c>
      <c r="L65" s="43"/>
      <c r="M65" s="43"/>
      <c r="N65" s="123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</row>
    <row r="66" spans="1:165" s="14" customFormat="1" x14ac:dyDescent="0.35">
      <c r="A66" s="42">
        <v>5</v>
      </c>
      <c r="B66" s="43" t="s">
        <v>133</v>
      </c>
      <c r="C66" s="43" t="s">
        <v>20</v>
      </c>
      <c r="D66" s="43" t="s">
        <v>54</v>
      </c>
      <c r="E66" s="44">
        <v>1080</v>
      </c>
      <c r="F66" s="45"/>
      <c r="G66" s="45"/>
      <c r="H66" s="45"/>
      <c r="I66" s="45"/>
      <c r="J66" s="45"/>
      <c r="K66" s="44">
        <f t="shared" si="3"/>
        <v>1320</v>
      </c>
      <c r="L66" s="43"/>
      <c r="M66" s="43"/>
      <c r="N66" s="123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</row>
    <row r="67" spans="1:165" s="14" customFormat="1" x14ac:dyDescent="0.35">
      <c r="A67" s="42">
        <v>6</v>
      </c>
      <c r="B67" s="43" t="s">
        <v>95</v>
      </c>
      <c r="C67" s="43" t="s">
        <v>20</v>
      </c>
      <c r="D67" s="43" t="s">
        <v>54</v>
      </c>
      <c r="E67" s="44"/>
      <c r="F67" s="45"/>
      <c r="G67" s="45"/>
      <c r="H67" s="45"/>
      <c r="I67" s="45"/>
      <c r="J67" s="45"/>
      <c r="K67" s="44">
        <f t="shared" si="3"/>
        <v>2400</v>
      </c>
      <c r="L67" s="43"/>
      <c r="M67" s="43"/>
      <c r="N67" s="123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</row>
    <row r="68" spans="1:165" s="14" customFormat="1" x14ac:dyDescent="0.35">
      <c r="A68" s="42">
        <v>7</v>
      </c>
      <c r="B68" s="43" t="s">
        <v>96</v>
      </c>
      <c r="C68" s="43" t="s">
        <v>20</v>
      </c>
      <c r="D68" s="43" t="s">
        <v>54</v>
      </c>
      <c r="E68" s="44">
        <v>1000</v>
      </c>
      <c r="F68" s="45" t="s">
        <v>116</v>
      </c>
      <c r="G68" s="45"/>
      <c r="H68" s="45"/>
      <c r="I68" s="45"/>
      <c r="J68" s="45"/>
      <c r="K68" s="44">
        <f t="shared" si="3"/>
        <v>1400</v>
      </c>
      <c r="L68" s="43"/>
      <c r="M68" s="43"/>
      <c r="N68" s="123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</row>
    <row r="69" spans="1:165" s="14" customFormat="1" x14ac:dyDescent="0.35">
      <c r="A69" s="42">
        <v>8</v>
      </c>
      <c r="B69" s="43" t="s">
        <v>97</v>
      </c>
      <c r="C69" s="43" t="s">
        <v>20</v>
      </c>
      <c r="D69" s="43" t="s">
        <v>54</v>
      </c>
      <c r="E69" s="44">
        <v>1000</v>
      </c>
      <c r="F69" s="45"/>
      <c r="G69" s="45"/>
      <c r="H69" s="45"/>
      <c r="I69" s="45"/>
      <c r="J69" s="45"/>
      <c r="K69" s="44">
        <f t="shared" si="3"/>
        <v>1400</v>
      </c>
      <c r="L69" s="43"/>
      <c r="M69" s="43"/>
      <c r="N69" s="123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</row>
    <row r="70" spans="1:165" s="14" customFormat="1" x14ac:dyDescent="0.35">
      <c r="A70" s="42">
        <v>9</v>
      </c>
      <c r="B70" s="43" t="s">
        <v>98</v>
      </c>
      <c r="C70" s="43" t="s">
        <v>20</v>
      </c>
      <c r="D70" s="43" t="s">
        <v>54</v>
      </c>
      <c r="E70" s="44">
        <v>1200</v>
      </c>
      <c r="F70" s="45" t="s">
        <v>274</v>
      </c>
      <c r="G70" s="45"/>
      <c r="H70" s="45"/>
      <c r="I70" s="45"/>
      <c r="J70" s="45"/>
      <c r="K70" s="44">
        <f t="shared" si="3"/>
        <v>1200</v>
      </c>
      <c r="L70" s="43"/>
      <c r="M70" s="43"/>
      <c r="N70" s="123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</row>
    <row r="71" spans="1:165" s="14" customFormat="1" x14ac:dyDescent="0.35">
      <c r="A71" s="42">
        <v>10</v>
      </c>
      <c r="B71" s="43" t="s">
        <v>99</v>
      </c>
      <c r="C71" s="43" t="s">
        <v>20</v>
      </c>
      <c r="D71" s="43" t="s">
        <v>54</v>
      </c>
      <c r="E71" s="44">
        <v>1500</v>
      </c>
      <c r="F71" s="45" t="s">
        <v>274</v>
      </c>
      <c r="G71" s="45"/>
      <c r="H71" s="45"/>
      <c r="I71" s="45"/>
      <c r="J71" s="45"/>
      <c r="K71" s="44">
        <f t="shared" si="3"/>
        <v>900</v>
      </c>
      <c r="L71" s="43"/>
      <c r="M71" s="43"/>
      <c r="N71" s="123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</row>
    <row r="72" spans="1:165" s="14" customFormat="1" x14ac:dyDescent="0.35">
      <c r="A72" s="42">
        <v>11</v>
      </c>
      <c r="B72" s="43" t="s">
        <v>100</v>
      </c>
      <c r="C72" s="43" t="s">
        <v>20</v>
      </c>
      <c r="D72" s="43" t="s">
        <v>54</v>
      </c>
      <c r="E72" s="44">
        <v>2400</v>
      </c>
      <c r="F72" s="45" t="s">
        <v>248</v>
      </c>
      <c r="G72" s="45"/>
      <c r="H72" s="45"/>
      <c r="I72" s="45"/>
      <c r="J72" s="45"/>
      <c r="K72" s="44">
        <f t="shared" si="3"/>
        <v>0</v>
      </c>
      <c r="L72" s="43"/>
      <c r="M72" s="43"/>
      <c r="N72" s="123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</row>
    <row r="73" spans="1:165" s="14" customFormat="1" x14ac:dyDescent="0.35">
      <c r="A73" s="42">
        <v>12</v>
      </c>
      <c r="B73" s="43" t="s">
        <v>101</v>
      </c>
      <c r="C73" s="43" t="s">
        <v>22</v>
      </c>
      <c r="D73" s="43" t="s">
        <v>54</v>
      </c>
      <c r="E73" s="44">
        <v>2000</v>
      </c>
      <c r="F73" s="45" t="s">
        <v>263</v>
      </c>
      <c r="G73" s="45"/>
      <c r="H73" s="45"/>
      <c r="I73" s="45"/>
      <c r="J73" s="45"/>
      <c r="K73" s="44">
        <f t="shared" si="3"/>
        <v>400</v>
      </c>
      <c r="L73" s="43"/>
      <c r="M73" s="43"/>
      <c r="N73" s="12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</row>
    <row r="74" spans="1:165" s="14" customFormat="1" x14ac:dyDescent="0.35">
      <c r="A74" s="42">
        <v>13</v>
      </c>
      <c r="B74" s="43" t="s">
        <v>102</v>
      </c>
      <c r="C74" s="43" t="s">
        <v>22</v>
      </c>
      <c r="D74" s="43" t="s">
        <v>54</v>
      </c>
      <c r="E74" s="44">
        <v>1200</v>
      </c>
      <c r="F74" s="45" t="s">
        <v>63</v>
      </c>
      <c r="G74" s="45"/>
      <c r="H74" s="45"/>
      <c r="I74" s="45"/>
      <c r="J74" s="45"/>
      <c r="K74" s="44">
        <f t="shared" si="3"/>
        <v>1200</v>
      </c>
      <c r="L74" s="43"/>
      <c r="M74" s="43"/>
      <c r="N74" s="123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</row>
    <row r="75" spans="1:165" s="14" customFormat="1" x14ac:dyDescent="0.35">
      <c r="A75" s="42">
        <v>14</v>
      </c>
      <c r="B75" s="43" t="s">
        <v>103</v>
      </c>
      <c r="C75" s="43" t="s">
        <v>22</v>
      </c>
      <c r="D75" s="43" t="s">
        <v>54</v>
      </c>
      <c r="E75" s="44"/>
      <c r="F75" s="45"/>
      <c r="G75" s="45"/>
      <c r="H75" s="45"/>
      <c r="I75" s="45"/>
      <c r="J75" s="45"/>
      <c r="K75" s="44">
        <f t="shared" si="3"/>
        <v>2400</v>
      </c>
      <c r="L75" s="43"/>
      <c r="M75" s="43"/>
      <c r="N75" s="123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</row>
    <row r="76" spans="1:165" s="14" customFormat="1" x14ac:dyDescent="0.35">
      <c r="A76" s="42">
        <v>15</v>
      </c>
      <c r="B76" s="43" t="s">
        <v>104</v>
      </c>
      <c r="C76" s="43" t="s">
        <v>22</v>
      </c>
      <c r="D76" s="43" t="s">
        <v>54</v>
      </c>
      <c r="E76" s="44"/>
      <c r="F76" s="45"/>
      <c r="G76" s="45"/>
      <c r="H76" s="45"/>
      <c r="I76" s="45"/>
      <c r="J76" s="45"/>
      <c r="K76" s="44">
        <f t="shared" si="3"/>
        <v>2400</v>
      </c>
      <c r="L76" s="43"/>
      <c r="M76" s="43"/>
      <c r="N76" s="123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</row>
    <row r="77" spans="1:165" s="14" customFormat="1" x14ac:dyDescent="0.35">
      <c r="A77" s="42">
        <v>16</v>
      </c>
      <c r="B77" s="43" t="s">
        <v>152</v>
      </c>
      <c r="C77" s="43" t="s">
        <v>22</v>
      </c>
      <c r="D77" s="43" t="s">
        <v>54</v>
      </c>
      <c r="E77" s="44">
        <v>1200</v>
      </c>
      <c r="F77" s="45" t="s">
        <v>147</v>
      </c>
      <c r="G77" s="44">
        <v>1000</v>
      </c>
      <c r="H77" s="45" t="s">
        <v>284</v>
      </c>
      <c r="I77" s="45">
        <v>200</v>
      </c>
      <c r="J77" s="45" t="s">
        <v>284</v>
      </c>
      <c r="K77" s="44">
        <f t="shared" si="3"/>
        <v>0</v>
      </c>
      <c r="L77" s="43"/>
      <c r="M77" s="43"/>
      <c r="N77" s="123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</row>
    <row r="78" spans="1:165" s="14" customFormat="1" x14ac:dyDescent="0.35">
      <c r="A78" s="42">
        <v>17</v>
      </c>
      <c r="B78" s="43" t="s">
        <v>105</v>
      </c>
      <c r="C78" s="43" t="s">
        <v>22</v>
      </c>
      <c r="D78" s="43" t="s">
        <v>54</v>
      </c>
      <c r="E78" s="44">
        <v>2400</v>
      </c>
      <c r="F78" s="45" t="s">
        <v>131</v>
      </c>
      <c r="G78" s="45"/>
      <c r="H78" s="45"/>
      <c r="I78" s="45"/>
      <c r="J78" s="45"/>
      <c r="K78" s="44">
        <f t="shared" si="3"/>
        <v>0</v>
      </c>
      <c r="L78" s="43"/>
      <c r="M78" s="43"/>
      <c r="N78" s="123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</row>
    <row r="79" spans="1:165" s="14" customFormat="1" x14ac:dyDescent="0.35">
      <c r="A79" s="42">
        <v>18</v>
      </c>
      <c r="B79" s="43" t="s">
        <v>106</v>
      </c>
      <c r="C79" s="43" t="s">
        <v>22</v>
      </c>
      <c r="D79" s="43" t="s">
        <v>54</v>
      </c>
      <c r="E79" s="44">
        <v>2400</v>
      </c>
      <c r="F79" s="45" t="s">
        <v>277</v>
      </c>
      <c r="G79" s="45"/>
      <c r="H79" s="45"/>
      <c r="I79" s="45"/>
      <c r="J79" s="45"/>
      <c r="K79" s="44">
        <f t="shared" si="3"/>
        <v>0</v>
      </c>
      <c r="L79" s="43"/>
      <c r="M79" s="43"/>
      <c r="N79" s="123">
        <v>83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</row>
    <row r="80" spans="1:165" s="14" customFormat="1" x14ac:dyDescent="0.35">
      <c r="A80" s="42">
        <v>19</v>
      </c>
      <c r="B80" s="43" t="s">
        <v>107</v>
      </c>
      <c r="C80" s="43" t="s">
        <v>22</v>
      </c>
      <c r="D80" s="43" t="s">
        <v>54</v>
      </c>
      <c r="E80" s="44"/>
      <c r="F80" s="45"/>
      <c r="G80" s="45"/>
      <c r="H80" s="45"/>
      <c r="I80" s="45"/>
      <c r="J80" s="45"/>
      <c r="K80" s="44">
        <f t="shared" si="3"/>
        <v>2400</v>
      </c>
      <c r="L80" s="43"/>
      <c r="M80" s="43"/>
      <c r="N80" s="123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</row>
    <row r="81" spans="1:165" s="14" customFormat="1" x14ac:dyDescent="0.35">
      <c r="A81" s="42">
        <v>20</v>
      </c>
      <c r="B81" s="43" t="s">
        <v>134</v>
      </c>
      <c r="C81" s="43" t="s">
        <v>20</v>
      </c>
      <c r="D81" s="43" t="s">
        <v>54</v>
      </c>
      <c r="E81" s="44"/>
      <c r="F81" s="45"/>
      <c r="G81" s="45"/>
      <c r="H81" s="45"/>
      <c r="I81" s="45"/>
      <c r="J81" s="45"/>
      <c r="K81" s="44">
        <v>0</v>
      </c>
      <c r="L81" s="43"/>
      <c r="M81" s="43"/>
      <c r="N81" s="123" t="s">
        <v>51</v>
      </c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</row>
    <row r="82" spans="1:165" s="14" customFormat="1" x14ac:dyDescent="0.35">
      <c r="A82" s="42">
        <v>21</v>
      </c>
      <c r="B82" s="43" t="s">
        <v>236</v>
      </c>
      <c r="C82" s="43" t="s">
        <v>20</v>
      </c>
      <c r="D82" s="43"/>
      <c r="E82" s="44">
        <v>1000</v>
      </c>
      <c r="F82" s="45" t="s">
        <v>282</v>
      </c>
      <c r="G82" s="45"/>
      <c r="H82" s="45"/>
      <c r="I82" s="45"/>
      <c r="J82" s="45"/>
      <c r="K82" s="44">
        <v>2400</v>
      </c>
      <c r="L82" s="43"/>
      <c r="M82" s="43"/>
      <c r="N82" s="123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</row>
    <row r="83" spans="1:165" s="14" customFormat="1" ht="15" thickBot="1" x14ac:dyDescent="0.4">
      <c r="A83" s="30">
        <v>22</v>
      </c>
      <c r="B83" s="14" t="s">
        <v>251</v>
      </c>
      <c r="C83" s="14" t="s">
        <v>22</v>
      </c>
      <c r="D83" s="14" t="s">
        <v>21</v>
      </c>
      <c r="E83" s="46">
        <v>2000</v>
      </c>
      <c r="F83" s="7" t="s">
        <v>265</v>
      </c>
      <c r="G83" s="7"/>
      <c r="H83" s="7"/>
      <c r="I83" s="7"/>
      <c r="J83" s="7"/>
      <c r="K83" s="46">
        <v>400</v>
      </c>
      <c r="N83" s="119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</row>
    <row r="84" spans="1:165" s="14" customFormat="1" ht="15" thickBot="1" x14ac:dyDescent="0.4">
      <c r="A84" s="51"/>
      <c r="B84" s="52"/>
      <c r="C84" s="52"/>
      <c r="D84" s="53"/>
      <c r="E84" s="54">
        <f>SUM(E62:E83)</f>
        <v>25940</v>
      </c>
      <c r="F84" s="55"/>
      <c r="G84" s="56"/>
      <c r="H84" s="56"/>
      <c r="I84" s="56"/>
      <c r="J84" s="88"/>
      <c r="K84" s="92">
        <f>SUM(K62:K83)</f>
        <v>23060</v>
      </c>
      <c r="L84" s="89"/>
      <c r="M84" s="52"/>
      <c r="N84" s="120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</row>
    <row r="85" spans="1:165" s="14" customFormat="1" ht="15" thickBot="1" x14ac:dyDescent="0.4">
      <c r="A85" s="61"/>
      <c r="B85" s="93" t="s">
        <v>26</v>
      </c>
      <c r="C85" s="94"/>
      <c r="D85" s="94"/>
      <c r="E85" s="95"/>
      <c r="F85" s="95"/>
      <c r="G85" s="95"/>
      <c r="H85" s="95"/>
      <c r="I85" s="95"/>
      <c r="J85" s="95"/>
      <c r="K85" s="96"/>
      <c r="L85" s="94"/>
      <c r="M85" s="94"/>
      <c r="N85" s="124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</row>
    <row r="86" spans="1:165" s="14" customFormat="1" x14ac:dyDescent="0.35">
      <c r="A86" s="57">
        <v>1</v>
      </c>
      <c r="B86" s="58" t="s">
        <v>70</v>
      </c>
      <c r="C86" s="58" t="s">
        <v>20</v>
      </c>
      <c r="D86" s="58" t="s">
        <v>54</v>
      </c>
      <c r="E86" s="59">
        <v>1200</v>
      </c>
      <c r="F86" s="60" t="s">
        <v>60</v>
      </c>
      <c r="G86" s="60"/>
      <c r="H86" s="60"/>
      <c r="I86" s="60"/>
      <c r="J86" s="60"/>
      <c r="K86" s="59">
        <f t="shared" si="3"/>
        <v>1200</v>
      </c>
      <c r="L86" s="58"/>
      <c r="M86" s="58"/>
      <c r="N86" s="122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</row>
    <row r="87" spans="1:165" s="14" customFormat="1" x14ac:dyDescent="0.35">
      <c r="A87" s="42">
        <v>2</v>
      </c>
      <c r="B87" s="43" t="s">
        <v>114</v>
      </c>
      <c r="C87" s="43" t="s">
        <v>22</v>
      </c>
      <c r="D87" s="43" t="s">
        <v>54</v>
      </c>
      <c r="E87" s="44">
        <v>2400</v>
      </c>
      <c r="F87" s="45" t="s">
        <v>62</v>
      </c>
      <c r="G87" s="45"/>
      <c r="H87" s="45"/>
      <c r="I87" s="45"/>
      <c r="J87" s="45"/>
      <c r="K87" s="44">
        <f t="shared" si="3"/>
        <v>0</v>
      </c>
      <c r="L87" s="43"/>
      <c r="M87" s="43"/>
      <c r="N87" s="123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</row>
    <row r="88" spans="1:165" s="14" customFormat="1" x14ac:dyDescent="0.35">
      <c r="A88" s="42">
        <v>3</v>
      </c>
      <c r="B88" s="43" t="s">
        <v>123</v>
      </c>
      <c r="C88" s="43" t="s">
        <v>20</v>
      </c>
      <c r="D88" s="43" t="s">
        <v>54</v>
      </c>
      <c r="E88" s="44">
        <v>2400</v>
      </c>
      <c r="F88" s="45" t="s">
        <v>66</v>
      </c>
      <c r="G88" s="45"/>
      <c r="H88" s="45"/>
      <c r="I88" s="45"/>
      <c r="J88" s="45"/>
      <c r="K88" s="44">
        <f t="shared" si="3"/>
        <v>0</v>
      </c>
      <c r="L88" s="43"/>
      <c r="M88" s="43"/>
      <c r="N88" s="123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</row>
    <row r="89" spans="1:165" s="14" customFormat="1" x14ac:dyDescent="0.35">
      <c r="A89" s="42">
        <v>4</v>
      </c>
      <c r="B89" s="43" t="s">
        <v>269</v>
      </c>
      <c r="C89" s="43" t="s">
        <v>20</v>
      </c>
      <c r="D89" s="43" t="s">
        <v>54</v>
      </c>
      <c r="E89" s="44"/>
      <c r="F89" s="45"/>
      <c r="G89" s="45"/>
      <c r="H89" s="45"/>
      <c r="I89" s="45"/>
      <c r="J89" s="45"/>
      <c r="K89" s="44">
        <v>2400</v>
      </c>
      <c r="L89" s="43"/>
      <c r="M89" s="43"/>
      <c r="N89" s="123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</row>
    <row r="90" spans="1:165" s="14" customFormat="1" x14ac:dyDescent="0.35">
      <c r="A90" s="42">
        <v>5</v>
      </c>
      <c r="B90" s="43" t="s">
        <v>125</v>
      </c>
      <c r="C90" s="43" t="s">
        <v>22</v>
      </c>
      <c r="D90" s="43" t="s">
        <v>54</v>
      </c>
      <c r="E90" s="44">
        <v>2400</v>
      </c>
      <c r="F90" s="45" t="s">
        <v>66</v>
      </c>
      <c r="G90" s="45"/>
      <c r="H90" s="45"/>
      <c r="I90" s="45"/>
      <c r="J90" s="45"/>
      <c r="K90" s="44">
        <f t="shared" si="3"/>
        <v>0</v>
      </c>
      <c r="L90" s="43"/>
      <c r="M90" s="43"/>
      <c r="N90" s="123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</row>
    <row r="91" spans="1:165" s="14" customFormat="1" x14ac:dyDescent="0.35">
      <c r="A91" s="42">
        <v>6</v>
      </c>
      <c r="B91" s="43" t="s">
        <v>135</v>
      </c>
      <c r="C91" s="43" t="s">
        <v>22</v>
      </c>
      <c r="D91" s="43" t="s">
        <v>21</v>
      </c>
      <c r="E91" s="44">
        <v>1080</v>
      </c>
      <c r="F91" s="45" t="s">
        <v>136</v>
      </c>
      <c r="G91" s="45"/>
      <c r="H91" s="45"/>
      <c r="I91" s="45"/>
      <c r="J91" s="45"/>
      <c r="K91" s="44">
        <f t="shared" si="3"/>
        <v>1320</v>
      </c>
      <c r="L91" s="43"/>
      <c r="M91" s="43"/>
      <c r="N91" s="125" t="s">
        <v>160</v>
      </c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</row>
    <row r="92" spans="1:165" s="14" customFormat="1" x14ac:dyDescent="0.35">
      <c r="A92" s="42">
        <v>7</v>
      </c>
      <c r="B92" s="43" t="s">
        <v>140</v>
      </c>
      <c r="C92" s="43" t="s">
        <v>20</v>
      </c>
      <c r="D92" s="43" t="s">
        <v>54</v>
      </c>
      <c r="E92" s="44">
        <v>2400</v>
      </c>
      <c r="F92" s="45" t="s">
        <v>141</v>
      </c>
      <c r="G92" s="45"/>
      <c r="H92" s="45"/>
      <c r="I92" s="45"/>
      <c r="J92" s="45"/>
      <c r="K92" s="44">
        <f t="shared" si="3"/>
        <v>0</v>
      </c>
      <c r="L92" s="43"/>
      <c r="M92" s="43"/>
      <c r="N92" s="123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</row>
    <row r="93" spans="1:165" s="14" customFormat="1" x14ac:dyDescent="0.35">
      <c r="A93" s="42">
        <v>8</v>
      </c>
      <c r="B93" s="43" t="s">
        <v>142</v>
      </c>
      <c r="C93" s="43" t="s">
        <v>20</v>
      </c>
      <c r="D93" s="43" t="s">
        <v>54</v>
      </c>
      <c r="E93" s="44">
        <v>1500</v>
      </c>
      <c r="F93" s="45" t="s">
        <v>141</v>
      </c>
      <c r="G93" s="45"/>
      <c r="H93" s="45"/>
      <c r="I93" s="45"/>
      <c r="J93" s="45"/>
      <c r="K93" s="44">
        <f t="shared" si="3"/>
        <v>900</v>
      </c>
      <c r="L93" s="43"/>
      <c r="M93" s="43"/>
      <c r="N93" s="12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</row>
    <row r="94" spans="1:165" s="14" customFormat="1" x14ac:dyDescent="0.35">
      <c r="A94" s="42">
        <v>9</v>
      </c>
      <c r="B94" s="43" t="s">
        <v>151</v>
      </c>
      <c r="C94" s="43" t="s">
        <v>20</v>
      </c>
      <c r="D94" s="43" t="s">
        <v>54</v>
      </c>
      <c r="E94" s="44">
        <v>1400</v>
      </c>
      <c r="F94" s="45" t="s">
        <v>147</v>
      </c>
      <c r="G94" s="44">
        <v>1000</v>
      </c>
      <c r="H94" s="45" t="s">
        <v>281</v>
      </c>
      <c r="I94" s="45"/>
      <c r="J94" s="45"/>
      <c r="K94" s="44">
        <f t="shared" si="3"/>
        <v>0</v>
      </c>
      <c r="L94" s="43"/>
      <c r="M94" s="43"/>
      <c r="N94" s="123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</row>
    <row r="95" spans="1:165" s="14" customFormat="1" x14ac:dyDescent="0.35">
      <c r="A95" s="42">
        <v>10</v>
      </c>
      <c r="B95" s="43" t="s">
        <v>153</v>
      </c>
      <c r="C95" s="43" t="s">
        <v>22</v>
      </c>
      <c r="D95" s="43" t="s">
        <v>21</v>
      </c>
      <c r="E95" s="44">
        <v>2160</v>
      </c>
      <c r="F95" s="45" t="s">
        <v>116</v>
      </c>
      <c r="G95" s="45"/>
      <c r="H95" s="45"/>
      <c r="I95" s="45"/>
      <c r="J95" s="45"/>
      <c r="K95" s="44">
        <f t="shared" ref="K95:K145" si="4">2400-(E95+G95+I95)</f>
        <v>240</v>
      </c>
      <c r="L95" s="43"/>
      <c r="M95" s="43"/>
      <c r="N95" s="125" t="s">
        <v>160</v>
      </c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</row>
    <row r="96" spans="1:165" s="14" customFormat="1" x14ac:dyDescent="0.35">
      <c r="A96" s="42">
        <v>11</v>
      </c>
      <c r="B96" s="43" t="s">
        <v>157</v>
      </c>
      <c r="C96" s="43" t="s">
        <v>22</v>
      </c>
      <c r="D96" s="43" t="s">
        <v>54</v>
      </c>
      <c r="E96" s="44">
        <v>2400</v>
      </c>
      <c r="F96" s="45" t="s">
        <v>249</v>
      </c>
      <c r="G96" s="45"/>
      <c r="H96" s="45"/>
      <c r="I96" s="45"/>
      <c r="J96" s="45"/>
      <c r="K96" s="44">
        <f t="shared" si="4"/>
        <v>0</v>
      </c>
      <c r="L96" s="43"/>
      <c r="M96" s="43"/>
      <c r="N96" s="123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</row>
    <row r="97" spans="1:165" s="14" customFormat="1" x14ac:dyDescent="0.35">
      <c r="A97" s="42">
        <v>12</v>
      </c>
      <c r="B97" s="43" t="s">
        <v>158</v>
      </c>
      <c r="C97" s="43" t="s">
        <v>20</v>
      </c>
      <c r="D97" s="43" t="s">
        <v>54</v>
      </c>
      <c r="E97" s="44">
        <v>2280</v>
      </c>
      <c r="F97" s="45" t="s">
        <v>67</v>
      </c>
      <c r="G97" s="45"/>
      <c r="H97" s="45"/>
      <c r="I97" s="45"/>
      <c r="J97" s="45"/>
      <c r="K97" s="44">
        <f t="shared" si="4"/>
        <v>120</v>
      </c>
      <c r="L97" s="43"/>
      <c r="M97" s="43"/>
      <c r="N97" s="125" t="s">
        <v>280</v>
      </c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</row>
    <row r="98" spans="1:165" s="14" customFormat="1" x14ac:dyDescent="0.35">
      <c r="A98" s="42">
        <v>13</v>
      </c>
      <c r="B98" s="43" t="s">
        <v>161</v>
      </c>
      <c r="C98" s="43" t="s">
        <v>20</v>
      </c>
      <c r="D98" s="43" t="s">
        <v>54</v>
      </c>
      <c r="E98" s="44">
        <v>1400</v>
      </c>
      <c r="F98" s="45" t="s">
        <v>247</v>
      </c>
      <c r="G98" s="45"/>
      <c r="H98" s="45"/>
      <c r="I98" s="45"/>
      <c r="J98" s="45"/>
      <c r="K98" s="44">
        <f t="shared" si="4"/>
        <v>1000</v>
      </c>
      <c r="L98" s="43"/>
      <c r="M98" s="43"/>
      <c r="N98" s="123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</row>
    <row r="99" spans="1:165" s="14" customFormat="1" x14ac:dyDescent="0.35">
      <c r="A99" s="42">
        <v>14</v>
      </c>
      <c r="B99" s="43" t="s">
        <v>252</v>
      </c>
      <c r="C99" s="43"/>
      <c r="D99" s="43"/>
      <c r="E99" s="44">
        <v>400</v>
      </c>
      <c r="F99" s="45" t="s">
        <v>147</v>
      </c>
      <c r="G99" s="44">
        <v>1000</v>
      </c>
      <c r="H99" s="45" t="s">
        <v>249</v>
      </c>
      <c r="I99" s="44">
        <v>1000</v>
      </c>
      <c r="J99" s="45" t="s">
        <v>279</v>
      </c>
      <c r="K99" s="44">
        <f t="shared" si="4"/>
        <v>0</v>
      </c>
      <c r="L99" s="43"/>
      <c r="M99" s="43"/>
      <c r="N99" s="123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</row>
    <row r="100" spans="1:165" s="14" customFormat="1" x14ac:dyDescent="0.35">
      <c r="A100" s="42">
        <v>15</v>
      </c>
      <c r="B100" s="43" t="s">
        <v>162</v>
      </c>
      <c r="C100" s="43" t="s">
        <v>20</v>
      </c>
      <c r="D100" s="43" t="s">
        <v>54</v>
      </c>
      <c r="E100" s="44">
        <v>2400</v>
      </c>
      <c r="F100" s="45" t="s">
        <v>116</v>
      </c>
      <c r="G100" s="45"/>
      <c r="H100" s="45"/>
      <c r="I100" s="45"/>
      <c r="J100" s="45"/>
      <c r="K100" s="44">
        <f t="shared" si="4"/>
        <v>0</v>
      </c>
      <c r="L100" s="43"/>
      <c r="M100" s="43"/>
      <c r="N100" s="123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</row>
    <row r="101" spans="1:165" s="14" customFormat="1" x14ac:dyDescent="0.35">
      <c r="A101" s="42">
        <v>16</v>
      </c>
      <c r="B101" s="43" t="s">
        <v>268</v>
      </c>
      <c r="C101" s="43" t="s">
        <v>20</v>
      </c>
      <c r="D101" s="43" t="s">
        <v>54</v>
      </c>
      <c r="E101" s="44">
        <v>2000</v>
      </c>
      <c r="F101" s="45" t="s">
        <v>263</v>
      </c>
      <c r="G101" s="45"/>
      <c r="H101" s="45"/>
      <c r="I101" s="45"/>
      <c r="J101" s="45"/>
      <c r="K101" s="44">
        <f t="shared" si="4"/>
        <v>400</v>
      </c>
      <c r="L101" s="43"/>
      <c r="M101" s="43"/>
      <c r="N101" s="123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</row>
    <row r="102" spans="1:165" s="14" customFormat="1" x14ac:dyDescent="0.35">
      <c r="A102" s="42">
        <v>15</v>
      </c>
      <c r="B102" s="43" t="s">
        <v>163</v>
      </c>
      <c r="C102" s="43" t="s">
        <v>20</v>
      </c>
      <c r="D102" s="43" t="s">
        <v>54</v>
      </c>
      <c r="E102" s="44">
        <v>1200</v>
      </c>
      <c r="F102" s="45" t="s">
        <v>278</v>
      </c>
      <c r="G102" s="45"/>
      <c r="H102" s="45"/>
      <c r="I102" s="45"/>
      <c r="J102" s="45"/>
      <c r="K102" s="44">
        <f t="shared" si="4"/>
        <v>1200</v>
      </c>
      <c r="L102" s="43"/>
      <c r="M102" s="43"/>
      <c r="N102" s="123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</row>
    <row r="103" spans="1:165" s="14" customFormat="1" ht="15" thickBot="1" x14ac:dyDescent="0.4">
      <c r="A103" s="30">
        <v>16</v>
      </c>
      <c r="D103" s="14" t="s">
        <v>54</v>
      </c>
      <c r="E103" s="46"/>
      <c r="F103" s="7"/>
      <c r="G103" s="7"/>
      <c r="H103" s="7"/>
      <c r="I103" s="7"/>
      <c r="J103" s="7"/>
      <c r="K103" s="46"/>
      <c r="N103" s="119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</row>
    <row r="104" spans="1:165" s="14" customFormat="1" ht="15" thickBot="1" x14ac:dyDescent="0.4">
      <c r="A104" s="51"/>
      <c r="B104" s="52"/>
      <c r="C104" s="52"/>
      <c r="D104" s="53"/>
      <c r="E104" s="54">
        <f>SUM(E86:E103)</f>
        <v>29020</v>
      </c>
      <c r="F104" s="55"/>
      <c r="G104" s="56"/>
      <c r="H104" s="56"/>
      <c r="I104" s="56"/>
      <c r="J104" s="88"/>
      <c r="K104" s="47">
        <f>SUM(K86:K103)</f>
        <v>8780</v>
      </c>
      <c r="L104" s="89"/>
      <c r="M104" s="52"/>
      <c r="N104" s="120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</row>
    <row r="105" spans="1:165" s="14" customFormat="1" ht="15" thickBot="1" x14ac:dyDescent="0.4">
      <c r="A105" s="61"/>
      <c r="B105" s="62" t="s">
        <v>27</v>
      </c>
      <c r="C105" s="63"/>
      <c r="D105" s="63"/>
      <c r="E105" s="64"/>
      <c r="F105" s="64"/>
      <c r="G105" s="64"/>
      <c r="H105" s="64"/>
      <c r="I105" s="64"/>
      <c r="J105" s="64"/>
      <c r="K105" s="65"/>
      <c r="L105" s="63"/>
      <c r="M105" s="63"/>
      <c r="N105" s="126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</row>
    <row r="106" spans="1:165" s="14" customFormat="1" x14ac:dyDescent="0.35">
      <c r="A106" s="57">
        <v>1</v>
      </c>
      <c r="B106" s="58" t="s">
        <v>117</v>
      </c>
      <c r="C106" s="58" t="s">
        <v>20</v>
      </c>
      <c r="D106" s="58" t="s">
        <v>54</v>
      </c>
      <c r="E106" s="59">
        <v>1500</v>
      </c>
      <c r="F106" s="60" t="s">
        <v>65</v>
      </c>
      <c r="G106" s="59">
        <v>1000</v>
      </c>
      <c r="H106" s="60" t="s">
        <v>247</v>
      </c>
      <c r="I106" s="60"/>
      <c r="J106" s="60"/>
      <c r="K106" s="59">
        <f t="shared" si="4"/>
        <v>-100</v>
      </c>
      <c r="L106" s="58"/>
      <c r="M106" s="58"/>
      <c r="N106" s="122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</row>
    <row r="107" spans="1:165" s="14" customFormat="1" x14ac:dyDescent="0.35">
      <c r="A107" s="42">
        <v>2</v>
      </c>
      <c r="B107" s="43" t="s">
        <v>119</v>
      </c>
      <c r="C107" s="43" t="s">
        <v>20</v>
      </c>
      <c r="D107" s="43" t="s">
        <v>54</v>
      </c>
      <c r="E107" s="44">
        <v>1100</v>
      </c>
      <c r="F107" s="45" t="s">
        <v>66</v>
      </c>
      <c r="G107" s="45"/>
      <c r="H107" s="45"/>
      <c r="I107" s="45"/>
      <c r="J107" s="45"/>
      <c r="K107" s="44">
        <f t="shared" si="4"/>
        <v>1300</v>
      </c>
      <c r="L107" s="43"/>
      <c r="M107" s="43"/>
      <c r="N107" s="123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</row>
    <row r="108" spans="1:165" s="14" customFormat="1" x14ac:dyDescent="0.35">
      <c r="A108" s="42">
        <v>3</v>
      </c>
      <c r="B108" s="43" t="s">
        <v>192</v>
      </c>
      <c r="C108" s="43" t="s">
        <v>20</v>
      </c>
      <c r="D108" s="43" t="s">
        <v>54</v>
      </c>
      <c r="E108" s="44">
        <v>2400</v>
      </c>
      <c r="F108" s="45" t="s">
        <v>67</v>
      </c>
      <c r="G108" s="45"/>
      <c r="H108" s="45"/>
      <c r="I108" s="45"/>
      <c r="J108" s="45"/>
      <c r="K108" s="44">
        <f t="shared" si="4"/>
        <v>0</v>
      </c>
      <c r="L108" s="43"/>
      <c r="M108" s="43"/>
      <c r="N108" s="123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</row>
    <row r="109" spans="1:165" s="14" customFormat="1" x14ac:dyDescent="0.35">
      <c r="A109" s="42">
        <v>4</v>
      </c>
      <c r="B109" s="43" t="s">
        <v>171</v>
      </c>
      <c r="C109" s="43" t="s">
        <v>20</v>
      </c>
      <c r="D109" s="43" t="s">
        <v>54</v>
      </c>
      <c r="E109" s="44">
        <v>1200</v>
      </c>
      <c r="F109" s="45" t="s">
        <v>265</v>
      </c>
      <c r="G109" s="45"/>
      <c r="H109" s="45"/>
      <c r="I109" s="45"/>
      <c r="J109" s="45"/>
      <c r="K109" s="44">
        <f t="shared" si="4"/>
        <v>1200</v>
      </c>
      <c r="L109" s="43"/>
      <c r="M109" s="43"/>
      <c r="N109" s="123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</row>
    <row r="110" spans="1:165" s="14" customFormat="1" x14ac:dyDescent="0.35">
      <c r="A110" s="42">
        <v>5</v>
      </c>
      <c r="B110" s="43"/>
      <c r="C110" s="43" t="s">
        <v>20</v>
      </c>
      <c r="D110" s="43" t="s">
        <v>54</v>
      </c>
      <c r="E110" s="44"/>
      <c r="F110" s="45"/>
      <c r="G110" s="45"/>
      <c r="H110" s="45"/>
      <c r="I110" s="45"/>
      <c r="J110" s="45"/>
      <c r="K110" s="44">
        <f t="shared" si="4"/>
        <v>2400</v>
      </c>
      <c r="L110" s="43"/>
      <c r="M110" s="43"/>
      <c r="N110" s="123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</row>
    <row r="111" spans="1:165" s="14" customFormat="1" x14ac:dyDescent="0.35">
      <c r="A111" s="42">
        <v>6</v>
      </c>
      <c r="B111" s="43" t="s">
        <v>172</v>
      </c>
      <c r="C111" s="43" t="s">
        <v>20</v>
      </c>
      <c r="D111" s="43" t="s">
        <v>54</v>
      </c>
      <c r="E111" s="44"/>
      <c r="F111" s="45"/>
      <c r="G111" s="45"/>
      <c r="H111" s="45"/>
      <c r="I111" s="45"/>
      <c r="J111" s="45"/>
      <c r="K111" s="44">
        <f t="shared" si="4"/>
        <v>2400</v>
      </c>
      <c r="L111" s="43"/>
      <c r="M111" s="43"/>
      <c r="N111" s="123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</row>
    <row r="112" spans="1:165" s="14" customFormat="1" x14ac:dyDescent="0.35">
      <c r="A112" s="42">
        <v>7</v>
      </c>
      <c r="B112" s="43" t="s">
        <v>173</v>
      </c>
      <c r="C112" s="43" t="s">
        <v>20</v>
      </c>
      <c r="D112" s="43" t="s">
        <v>54</v>
      </c>
      <c r="E112" s="44">
        <v>1200</v>
      </c>
      <c r="F112" s="45" t="s">
        <v>272</v>
      </c>
      <c r="G112" s="45"/>
      <c r="H112" s="45"/>
      <c r="I112" s="45"/>
      <c r="J112" s="45"/>
      <c r="K112" s="44">
        <f t="shared" si="4"/>
        <v>1200</v>
      </c>
      <c r="L112" s="43"/>
      <c r="M112" s="43"/>
      <c r="N112" s="123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</row>
    <row r="113" spans="1:165" s="14" customFormat="1" x14ac:dyDescent="0.35">
      <c r="A113" s="42">
        <v>8</v>
      </c>
      <c r="B113" s="43" t="s">
        <v>174</v>
      </c>
      <c r="C113" s="43" t="s">
        <v>20</v>
      </c>
      <c r="D113" s="43"/>
      <c r="E113" s="44"/>
      <c r="F113" s="45"/>
      <c r="G113" s="45"/>
      <c r="H113" s="45"/>
      <c r="I113" s="45"/>
      <c r="J113" s="45"/>
      <c r="K113" s="44">
        <f t="shared" si="4"/>
        <v>2400</v>
      </c>
      <c r="L113" s="43"/>
      <c r="M113" s="43"/>
      <c r="N113" s="12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</row>
    <row r="114" spans="1:165" s="14" customFormat="1" x14ac:dyDescent="0.35">
      <c r="A114" s="42">
        <v>9</v>
      </c>
      <c r="B114" s="43" t="s">
        <v>167</v>
      </c>
      <c r="C114" s="43" t="s">
        <v>22</v>
      </c>
      <c r="D114" s="43"/>
      <c r="E114" s="44">
        <v>1500</v>
      </c>
      <c r="F114" s="45" t="s">
        <v>274</v>
      </c>
      <c r="G114" s="45"/>
      <c r="H114" s="45"/>
      <c r="I114" s="45"/>
      <c r="J114" s="45"/>
      <c r="K114" s="44">
        <f t="shared" si="4"/>
        <v>900</v>
      </c>
      <c r="L114" s="43"/>
      <c r="M114" s="43"/>
      <c r="N114" s="123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</row>
    <row r="115" spans="1:165" s="14" customFormat="1" x14ac:dyDescent="0.35">
      <c r="A115" s="42">
        <v>10</v>
      </c>
      <c r="B115" s="43" t="s">
        <v>168</v>
      </c>
      <c r="C115" s="43" t="s">
        <v>22</v>
      </c>
      <c r="D115" s="43"/>
      <c r="E115" s="44">
        <v>1200</v>
      </c>
      <c r="F115" s="45" t="s">
        <v>265</v>
      </c>
      <c r="G115" s="45"/>
      <c r="H115" s="45"/>
      <c r="I115" s="45"/>
      <c r="J115" s="45"/>
      <c r="K115" s="44">
        <f t="shared" si="4"/>
        <v>1200</v>
      </c>
      <c r="L115" s="43"/>
      <c r="M115" s="43"/>
      <c r="N115" s="123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</row>
    <row r="116" spans="1:165" s="14" customFormat="1" x14ac:dyDescent="0.35">
      <c r="A116" s="42">
        <v>11</v>
      </c>
      <c r="B116" s="43" t="s">
        <v>169</v>
      </c>
      <c r="C116" s="43" t="s">
        <v>22</v>
      </c>
      <c r="D116" s="43"/>
      <c r="E116" s="44">
        <v>2400</v>
      </c>
      <c r="F116" s="45" t="s">
        <v>131</v>
      </c>
      <c r="G116" s="45"/>
      <c r="H116" s="45"/>
      <c r="I116" s="45"/>
      <c r="J116" s="45"/>
      <c r="K116" s="44">
        <f t="shared" si="4"/>
        <v>0</v>
      </c>
      <c r="L116" s="43"/>
      <c r="M116" s="43"/>
      <c r="N116" s="123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</row>
    <row r="117" spans="1:165" s="14" customFormat="1" x14ac:dyDescent="0.35">
      <c r="A117" s="42">
        <v>12</v>
      </c>
      <c r="B117" s="43" t="s">
        <v>144</v>
      </c>
      <c r="C117" s="43" t="s">
        <v>22</v>
      </c>
      <c r="D117" s="43" t="s">
        <v>54</v>
      </c>
      <c r="E117" s="44">
        <v>2400</v>
      </c>
      <c r="F117" s="45" t="s">
        <v>149</v>
      </c>
      <c r="G117" s="45"/>
      <c r="H117" s="45"/>
      <c r="I117" s="45"/>
      <c r="J117" s="45"/>
      <c r="K117" s="44">
        <f t="shared" si="4"/>
        <v>0</v>
      </c>
      <c r="L117" s="43"/>
      <c r="M117" s="43"/>
      <c r="N117" s="123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</row>
    <row r="118" spans="1:165" s="14" customFormat="1" x14ac:dyDescent="0.35">
      <c r="A118" s="42">
        <v>13</v>
      </c>
      <c r="B118" s="43" t="s">
        <v>132</v>
      </c>
      <c r="C118" s="43" t="s">
        <v>22</v>
      </c>
      <c r="D118" s="43"/>
      <c r="E118" s="44">
        <v>1200</v>
      </c>
      <c r="F118" s="45" t="s">
        <v>131</v>
      </c>
      <c r="G118" s="45"/>
      <c r="H118" s="45"/>
      <c r="I118" s="45"/>
      <c r="J118" s="45"/>
      <c r="K118" s="44">
        <f t="shared" si="4"/>
        <v>1200</v>
      </c>
      <c r="L118" s="43"/>
      <c r="M118" s="43"/>
      <c r="N118" s="123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</row>
    <row r="119" spans="1:165" s="14" customFormat="1" x14ac:dyDescent="0.35">
      <c r="A119" s="42">
        <v>14</v>
      </c>
      <c r="B119" s="43" t="s">
        <v>164</v>
      </c>
      <c r="C119" s="43" t="s">
        <v>22</v>
      </c>
      <c r="D119" s="43"/>
      <c r="E119" s="44">
        <v>2400</v>
      </c>
      <c r="F119" s="45" t="s">
        <v>270</v>
      </c>
      <c r="G119" s="45"/>
      <c r="H119" s="45"/>
      <c r="I119" s="45"/>
      <c r="J119" s="45"/>
      <c r="K119" s="44">
        <f t="shared" si="4"/>
        <v>0</v>
      </c>
      <c r="L119" s="43"/>
      <c r="M119" s="43"/>
      <c r="N119" s="123">
        <v>83</v>
      </c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</row>
    <row r="120" spans="1:165" s="14" customFormat="1" x14ac:dyDescent="0.35">
      <c r="A120" s="42">
        <v>15</v>
      </c>
      <c r="B120" s="43" t="s">
        <v>165</v>
      </c>
      <c r="C120" s="43" t="s">
        <v>22</v>
      </c>
      <c r="D120" s="43" t="s">
        <v>54</v>
      </c>
      <c r="E120" s="44">
        <v>2400</v>
      </c>
      <c r="F120" s="45" t="s">
        <v>67</v>
      </c>
      <c r="G120" s="45"/>
      <c r="H120" s="45"/>
      <c r="I120" s="45"/>
      <c r="J120" s="45"/>
      <c r="K120" s="44">
        <f t="shared" si="4"/>
        <v>0</v>
      </c>
      <c r="L120" s="43"/>
      <c r="M120" s="43"/>
      <c r="N120" s="123" t="s">
        <v>234</v>
      </c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</row>
    <row r="121" spans="1:165" s="14" customFormat="1" x14ac:dyDescent="0.35">
      <c r="A121" s="42">
        <v>16</v>
      </c>
      <c r="B121" s="43" t="s">
        <v>166</v>
      </c>
      <c r="C121" s="43" t="s">
        <v>22</v>
      </c>
      <c r="D121" s="43"/>
      <c r="E121" s="44"/>
      <c r="F121" s="45"/>
      <c r="G121" s="45"/>
      <c r="H121" s="45"/>
      <c r="I121" s="45"/>
      <c r="J121" s="45"/>
      <c r="K121" s="44">
        <f t="shared" si="4"/>
        <v>2400</v>
      </c>
      <c r="L121" s="43"/>
      <c r="M121" s="43"/>
      <c r="N121" s="123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</row>
    <row r="122" spans="1:165" s="14" customFormat="1" x14ac:dyDescent="0.35">
      <c r="A122" s="30">
        <v>19</v>
      </c>
      <c r="E122" s="23"/>
      <c r="F122" s="7"/>
      <c r="G122" s="7"/>
      <c r="H122" s="7"/>
      <c r="I122" s="7"/>
      <c r="J122" s="7"/>
      <c r="K122" s="23"/>
      <c r="N122" s="119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</row>
    <row r="123" spans="1:165" s="14" customFormat="1" ht="15" thickBot="1" x14ac:dyDescent="0.4">
      <c r="A123" s="30">
        <v>20</v>
      </c>
      <c r="E123" s="46"/>
      <c r="F123" s="7"/>
      <c r="G123" s="7"/>
      <c r="H123" s="7"/>
      <c r="I123" s="7"/>
      <c r="J123" s="7"/>
      <c r="K123" s="46" t="s">
        <v>323</v>
      </c>
      <c r="N123" s="119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</row>
    <row r="124" spans="1:165" s="14" customFormat="1" ht="15" thickBot="1" x14ac:dyDescent="0.4">
      <c r="A124" s="30"/>
      <c r="D124" s="17"/>
      <c r="E124" s="50">
        <f>SUM(E106:E123)</f>
        <v>20900</v>
      </c>
      <c r="F124" s="9"/>
      <c r="G124" s="7"/>
      <c r="H124" s="7"/>
      <c r="I124" s="7"/>
      <c r="J124" s="16"/>
      <c r="K124" s="47">
        <f>SUM(K106:K123)</f>
        <v>16500</v>
      </c>
      <c r="L124" s="49"/>
      <c r="N124" s="119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</row>
    <row r="125" spans="1:165" s="14" customFormat="1" x14ac:dyDescent="0.35">
      <c r="A125" s="30"/>
      <c r="B125" s="20" t="s">
        <v>28</v>
      </c>
      <c r="C125" s="18"/>
      <c r="D125" s="18"/>
      <c r="E125" s="66"/>
      <c r="F125" s="19"/>
      <c r="G125" s="19"/>
      <c r="H125" s="19"/>
      <c r="I125" s="19"/>
      <c r="J125" s="19"/>
      <c r="K125" s="91"/>
      <c r="L125" s="18"/>
      <c r="M125" s="18"/>
      <c r="N125" s="127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</row>
    <row r="126" spans="1:165" s="14" customFormat="1" x14ac:dyDescent="0.35">
      <c r="A126" s="42">
        <v>1</v>
      </c>
      <c r="B126" s="43" t="s">
        <v>127</v>
      </c>
      <c r="C126" s="43" t="s">
        <v>20</v>
      </c>
      <c r="D126" s="43" t="s">
        <v>54</v>
      </c>
      <c r="E126" s="44">
        <v>2400</v>
      </c>
      <c r="F126" s="45" t="s">
        <v>50</v>
      </c>
      <c r="G126" s="45"/>
      <c r="H126" s="45"/>
      <c r="I126" s="45"/>
      <c r="J126" s="45"/>
      <c r="K126" s="44">
        <f t="shared" si="4"/>
        <v>0</v>
      </c>
      <c r="L126" s="43"/>
      <c r="M126" s="43"/>
      <c r="N126" s="123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</row>
    <row r="127" spans="1:165" s="14" customFormat="1" x14ac:dyDescent="0.35">
      <c r="A127" s="42">
        <v>2</v>
      </c>
      <c r="B127" s="43" t="s">
        <v>143</v>
      </c>
      <c r="C127" s="43" t="s">
        <v>20</v>
      </c>
      <c r="D127" s="43" t="s">
        <v>54</v>
      </c>
      <c r="E127" s="44">
        <v>1500</v>
      </c>
      <c r="F127" s="45" t="s">
        <v>141</v>
      </c>
      <c r="G127" s="45"/>
      <c r="H127" s="45"/>
      <c r="I127" s="45"/>
      <c r="J127" s="45"/>
      <c r="K127" s="44">
        <f t="shared" si="4"/>
        <v>900</v>
      </c>
      <c r="L127" s="43"/>
      <c r="M127" s="43"/>
      <c r="N127" s="123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</row>
    <row r="128" spans="1:165" s="14" customFormat="1" x14ac:dyDescent="0.35">
      <c r="A128" s="42">
        <v>3</v>
      </c>
      <c r="B128" s="43" t="s">
        <v>146</v>
      </c>
      <c r="C128" s="43" t="s">
        <v>20</v>
      </c>
      <c r="D128" s="43" t="s">
        <v>54</v>
      </c>
      <c r="E128" s="44">
        <v>1700</v>
      </c>
      <c r="F128" s="45" t="s">
        <v>141</v>
      </c>
      <c r="G128" s="45"/>
      <c r="H128" s="45"/>
      <c r="I128" s="45"/>
      <c r="J128" s="45"/>
      <c r="K128" s="44">
        <f t="shared" si="4"/>
        <v>700</v>
      </c>
      <c r="L128" s="43"/>
      <c r="M128" s="43"/>
      <c r="N128" s="123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</row>
    <row r="129" spans="1:165" s="14" customFormat="1" x14ac:dyDescent="0.35">
      <c r="A129" s="42">
        <v>4</v>
      </c>
      <c r="B129" s="43" t="s">
        <v>175</v>
      </c>
      <c r="C129" s="43" t="s">
        <v>20</v>
      </c>
      <c r="D129" s="43" t="s">
        <v>54</v>
      </c>
      <c r="E129" s="44">
        <v>2400</v>
      </c>
      <c r="F129" s="45" t="s">
        <v>61</v>
      </c>
      <c r="G129" s="45"/>
      <c r="H129" s="45"/>
      <c r="I129" s="45"/>
      <c r="J129" s="45"/>
      <c r="K129" s="44">
        <f t="shared" si="4"/>
        <v>0</v>
      </c>
      <c r="L129" s="43"/>
      <c r="M129" s="43"/>
      <c r="N129" s="123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</row>
    <row r="130" spans="1:165" s="14" customFormat="1" x14ac:dyDescent="0.35">
      <c r="A130" s="42">
        <v>5</v>
      </c>
      <c r="B130" s="43" t="s">
        <v>176</v>
      </c>
      <c r="C130" s="43" t="s">
        <v>20</v>
      </c>
      <c r="D130" s="43" t="s">
        <v>54</v>
      </c>
      <c r="E130" s="44"/>
      <c r="F130" s="45"/>
      <c r="G130" s="45"/>
      <c r="H130" s="45"/>
      <c r="I130" s="45"/>
      <c r="J130" s="45"/>
      <c r="K130" s="44">
        <f t="shared" si="4"/>
        <v>2400</v>
      </c>
      <c r="L130" s="43"/>
      <c r="M130" s="43"/>
      <c r="N130" s="123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</row>
    <row r="131" spans="1:165" s="14" customFormat="1" x14ac:dyDescent="0.35">
      <c r="A131" s="42">
        <v>6</v>
      </c>
      <c r="B131" s="43" t="s">
        <v>177</v>
      </c>
      <c r="C131" s="43" t="s">
        <v>20</v>
      </c>
      <c r="D131" s="43" t="s">
        <v>54</v>
      </c>
      <c r="E131" s="44">
        <v>2000</v>
      </c>
      <c r="F131" s="45" t="s">
        <v>263</v>
      </c>
      <c r="G131" s="45"/>
      <c r="H131" s="45"/>
      <c r="I131" s="45"/>
      <c r="J131" s="45"/>
      <c r="K131" s="44">
        <f t="shared" si="4"/>
        <v>400</v>
      </c>
      <c r="L131" s="43"/>
      <c r="M131" s="43"/>
      <c r="N131" s="123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</row>
    <row r="132" spans="1:165" s="14" customFormat="1" x14ac:dyDescent="0.35">
      <c r="A132" s="42">
        <v>7</v>
      </c>
      <c r="B132" s="43" t="s">
        <v>180</v>
      </c>
      <c r="C132" s="43" t="s">
        <v>20</v>
      </c>
      <c r="D132" s="43" t="s">
        <v>54</v>
      </c>
      <c r="E132" s="44"/>
      <c r="F132" s="45"/>
      <c r="G132" s="45"/>
      <c r="H132" s="45"/>
      <c r="I132" s="45"/>
      <c r="J132" s="45"/>
      <c r="K132" s="44">
        <f t="shared" si="4"/>
        <v>2400</v>
      </c>
      <c r="L132" s="43"/>
      <c r="M132" s="43"/>
      <c r="N132" s="123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</row>
    <row r="133" spans="1:165" s="14" customFormat="1" x14ac:dyDescent="0.35">
      <c r="A133" s="42">
        <v>8</v>
      </c>
      <c r="B133" s="43" t="s">
        <v>181</v>
      </c>
      <c r="C133" s="43" t="s">
        <v>20</v>
      </c>
      <c r="D133" s="43" t="s">
        <v>54</v>
      </c>
      <c r="E133" s="44"/>
      <c r="F133" s="45"/>
      <c r="G133" s="45"/>
      <c r="H133" s="45"/>
      <c r="I133" s="45"/>
      <c r="J133" s="45"/>
      <c r="K133" s="44">
        <f t="shared" si="4"/>
        <v>2400</v>
      </c>
      <c r="L133" s="43"/>
      <c r="M133" s="43"/>
      <c r="N133" s="12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</row>
    <row r="134" spans="1:165" s="14" customFormat="1" x14ac:dyDescent="0.35">
      <c r="A134" s="42">
        <v>9</v>
      </c>
      <c r="B134" s="43" t="s">
        <v>182</v>
      </c>
      <c r="C134" s="43" t="s">
        <v>20</v>
      </c>
      <c r="D134" s="43" t="s">
        <v>54</v>
      </c>
      <c r="E134" s="44">
        <v>2400</v>
      </c>
      <c r="F134" s="45" t="s">
        <v>249</v>
      </c>
      <c r="G134" s="45"/>
      <c r="H134" s="45"/>
      <c r="I134" s="45"/>
      <c r="J134" s="45"/>
      <c r="K134" s="44">
        <f t="shared" si="4"/>
        <v>0</v>
      </c>
      <c r="L134" s="43"/>
      <c r="M134" s="43"/>
      <c r="N134" s="123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</row>
    <row r="135" spans="1:165" s="14" customFormat="1" x14ac:dyDescent="0.35">
      <c r="A135" s="42">
        <v>10</v>
      </c>
      <c r="B135" s="43" t="s">
        <v>183</v>
      </c>
      <c r="C135" s="43" t="s">
        <v>20</v>
      </c>
      <c r="D135" s="43" t="s">
        <v>54</v>
      </c>
      <c r="E135" s="44"/>
      <c r="F135" s="45"/>
      <c r="G135" s="45"/>
      <c r="H135" s="45"/>
      <c r="I135" s="45"/>
      <c r="J135" s="45"/>
      <c r="K135" s="44">
        <f t="shared" si="4"/>
        <v>2400</v>
      </c>
      <c r="L135" s="43"/>
      <c r="M135" s="43"/>
      <c r="N135" s="123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</row>
    <row r="136" spans="1:165" s="14" customFormat="1" x14ac:dyDescent="0.35">
      <c r="A136" s="42">
        <v>11</v>
      </c>
      <c r="B136" s="43" t="s">
        <v>184</v>
      </c>
      <c r="C136" s="43" t="s">
        <v>22</v>
      </c>
      <c r="D136" s="43" t="s">
        <v>54</v>
      </c>
      <c r="E136" s="44">
        <v>400</v>
      </c>
      <c r="F136" s="45" t="s">
        <v>147</v>
      </c>
      <c r="G136" s="44">
        <v>1000</v>
      </c>
      <c r="H136" s="45" t="s">
        <v>249</v>
      </c>
      <c r="I136" s="44">
        <v>1000</v>
      </c>
      <c r="J136" s="45" t="s">
        <v>279</v>
      </c>
      <c r="K136" s="44">
        <f t="shared" si="4"/>
        <v>0</v>
      </c>
      <c r="L136" s="43"/>
      <c r="M136" s="43"/>
      <c r="N136" s="123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</row>
    <row r="137" spans="1:165" s="14" customFormat="1" x14ac:dyDescent="0.35">
      <c r="A137" s="42">
        <v>12</v>
      </c>
      <c r="B137" s="43" t="s">
        <v>185</v>
      </c>
      <c r="C137" s="43" t="s">
        <v>22</v>
      </c>
      <c r="D137" s="43" t="s">
        <v>54</v>
      </c>
      <c r="E137" s="44">
        <v>2000</v>
      </c>
      <c r="F137" s="45" t="s">
        <v>270</v>
      </c>
      <c r="G137" s="45"/>
      <c r="H137" s="45"/>
      <c r="I137" s="45"/>
      <c r="J137" s="45"/>
      <c r="K137" s="44">
        <f t="shared" si="4"/>
        <v>400</v>
      </c>
      <c r="L137" s="43"/>
      <c r="M137" s="43"/>
      <c r="N137" s="123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</row>
    <row r="138" spans="1:165" s="14" customFormat="1" x14ac:dyDescent="0.35">
      <c r="A138" s="42">
        <v>13</v>
      </c>
      <c r="B138" s="43" t="s">
        <v>186</v>
      </c>
      <c r="C138" s="43" t="s">
        <v>22</v>
      </c>
      <c r="D138" s="43" t="s">
        <v>54</v>
      </c>
      <c r="E138" s="44">
        <v>1000</v>
      </c>
      <c r="F138" s="45"/>
      <c r="G138" s="45"/>
      <c r="H138" s="45"/>
      <c r="I138" s="45"/>
      <c r="J138" s="45"/>
      <c r="K138" s="44">
        <f t="shared" si="4"/>
        <v>1400</v>
      </c>
      <c r="L138" s="43"/>
      <c r="M138" s="43"/>
      <c r="N138" s="123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</row>
    <row r="139" spans="1:165" s="14" customFormat="1" x14ac:dyDescent="0.35">
      <c r="A139" s="42">
        <v>14</v>
      </c>
      <c r="B139" s="43" t="s">
        <v>187</v>
      </c>
      <c r="C139" s="43" t="s">
        <v>22</v>
      </c>
      <c r="D139" s="43" t="s">
        <v>54</v>
      </c>
      <c r="E139" s="44">
        <v>1200</v>
      </c>
      <c r="F139" s="45" t="s">
        <v>283</v>
      </c>
      <c r="G139" s="45"/>
      <c r="H139" s="45"/>
      <c r="I139" s="45"/>
      <c r="J139" s="45"/>
      <c r="K139" s="44">
        <f t="shared" si="4"/>
        <v>1200</v>
      </c>
      <c r="L139" s="43"/>
      <c r="M139" s="43"/>
      <c r="N139" s="123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</row>
    <row r="140" spans="1:165" s="14" customFormat="1" x14ac:dyDescent="0.35">
      <c r="A140" s="42">
        <v>15</v>
      </c>
      <c r="B140" s="43" t="s">
        <v>188</v>
      </c>
      <c r="C140" s="43" t="s">
        <v>22</v>
      </c>
      <c r="D140" s="43" t="s">
        <v>54</v>
      </c>
      <c r="E140" s="44"/>
      <c r="F140" s="45"/>
      <c r="G140" s="45"/>
      <c r="H140" s="45"/>
      <c r="I140" s="45"/>
      <c r="J140" s="45"/>
      <c r="K140" s="44">
        <f t="shared" si="4"/>
        <v>2400</v>
      </c>
      <c r="L140" s="43"/>
      <c r="M140" s="43"/>
      <c r="N140" s="123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</row>
    <row r="141" spans="1:165" s="14" customFormat="1" x14ac:dyDescent="0.35">
      <c r="A141" s="42">
        <v>16</v>
      </c>
      <c r="B141" s="43" t="s">
        <v>189</v>
      </c>
      <c r="C141" s="43" t="s">
        <v>22</v>
      </c>
      <c r="D141" s="43" t="s">
        <v>54</v>
      </c>
      <c r="E141" s="44"/>
      <c r="F141" s="45"/>
      <c r="G141" s="45"/>
      <c r="H141" s="45"/>
      <c r="I141" s="45"/>
      <c r="J141" s="45"/>
      <c r="K141" s="44">
        <f t="shared" si="4"/>
        <v>2400</v>
      </c>
      <c r="L141" s="43"/>
      <c r="M141" s="43"/>
      <c r="N141" s="123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</row>
    <row r="142" spans="1:165" s="14" customFormat="1" x14ac:dyDescent="0.35">
      <c r="A142" s="42">
        <v>17</v>
      </c>
      <c r="B142" s="43" t="s">
        <v>156</v>
      </c>
      <c r="C142" s="43" t="s">
        <v>22</v>
      </c>
      <c r="D142" s="43" t="s">
        <v>54</v>
      </c>
      <c r="E142" s="44">
        <v>2400</v>
      </c>
      <c r="F142" s="45" t="s">
        <v>193</v>
      </c>
      <c r="G142" s="45"/>
      <c r="H142" s="45"/>
      <c r="I142" s="45"/>
      <c r="J142" s="45"/>
      <c r="K142" s="44">
        <f t="shared" si="4"/>
        <v>0</v>
      </c>
      <c r="L142" s="43"/>
      <c r="M142" s="43"/>
      <c r="N142" s="123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</row>
    <row r="143" spans="1:165" s="14" customFormat="1" x14ac:dyDescent="0.35">
      <c r="A143" s="42">
        <v>18</v>
      </c>
      <c r="B143" s="43" t="s">
        <v>190</v>
      </c>
      <c r="C143" s="43" t="s">
        <v>22</v>
      </c>
      <c r="D143" s="43" t="s">
        <v>54</v>
      </c>
      <c r="E143" s="44">
        <v>1800</v>
      </c>
      <c r="F143" s="45" t="s">
        <v>270</v>
      </c>
      <c r="G143" s="45"/>
      <c r="H143" s="45"/>
      <c r="I143" s="45"/>
      <c r="J143" s="45"/>
      <c r="K143" s="44">
        <f t="shared" si="4"/>
        <v>600</v>
      </c>
      <c r="L143" s="43"/>
      <c r="M143" s="43"/>
      <c r="N143" s="12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</row>
    <row r="144" spans="1:165" s="14" customFormat="1" x14ac:dyDescent="0.35">
      <c r="A144" s="42">
        <v>19</v>
      </c>
      <c r="B144" s="43" t="s">
        <v>191</v>
      </c>
      <c r="C144" s="43" t="s">
        <v>22</v>
      </c>
      <c r="D144" s="43" t="s">
        <v>54</v>
      </c>
      <c r="E144" s="44">
        <v>1200</v>
      </c>
      <c r="F144" s="45" t="s">
        <v>271</v>
      </c>
      <c r="G144" s="45"/>
      <c r="H144" s="45"/>
      <c r="I144" s="45"/>
      <c r="J144" s="45"/>
      <c r="K144" s="44">
        <f t="shared" si="4"/>
        <v>1200</v>
      </c>
      <c r="L144" s="43"/>
      <c r="M144" s="43"/>
      <c r="N144" s="123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</row>
    <row r="145" spans="1:165" s="14" customFormat="1" x14ac:dyDescent="0.35">
      <c r="A145" s="42">
        <v>20</v>
      </c>
      <c r="B145" s="43" t="s">
        <v>192</v>
      </c>
      <c r="C145" s="43" t="s">
        <v>22</v>
      </c>
      <c r="D145" s="43" t="s">
        <v>54</v>
      </c>
      <c r="E145" s="44">
        <v>1500</v>
      </c>
      <c r="F145" s="45" t="s">
        <v>262</v>
      </c>
      <c r="G145" s="45"/>
      <c r="H145" s="45"/>
      <c r="I145" s="45"/>
      <c r="J145" s="45"/>
      <c r="K145" s="44">
        <f t="shared" si="4"/>
        <v>900</v>
      </c>
      <c r="L145" s="43"/>
      <c r="M145" s="43"/>
      <c r="N145" s="123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</row>
    <row r="146" spans="1:165" s="14" customFormat="1" ht="15" thickBot="1" x14ac:dyDescent="0.4">
      <c r="A146" s="30"/>
      <c r="E146" s="23"/>
      <c r="F146" s="7"/>
      <c r="G146" s="7"/>
      <c r="H146" s="7"/>
      <c r="I146" s="7"/>
      <c r="J146" s="7"/>
      <c r="K146" s="46"/>
      <c r="N146" s="119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</row>
    <row r="147" spans="1:165" s="14" customFormat="1" ht="15" thickBot="1" x14ac:dyDescent="0.4">
      <c r="A147" s="30"/>
      <c r="E147" s="67">
        <f>SUM(E126:E146)</f>
        <v>23900</v>
      </c>
      <c r="F147" s="7"/>
      <c r="G147" s="7"/>
      <c r="H147" s="7"/>
      <c r="I147" s="7"/>
      <c r="J147" s="16"/>
      <c r="K147" s="47">
        <f>SUM(K126:K146)</f>
        <v>22100</v>
      </c>
      <c r="L147" s="49"/>
      <c r="N147" s="119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</row>
    <row r="148" spans="1:165" s="14" customFormat="1" x14ac:dyDescent="0.35">
      <c r="A148" s="30"/>
      <c r="B148" s="22" t="s">
        <v>29</v>
      </c>
      <c r="C148" s="15"/>
      <c r="D148" s="15"/>
      <c r="E148" s="24"/>
      <c r="F148" s="21"/>
      <c r="G148" s="21"/>
      <c r="H148" s="21"/>
      <c r="I148" s="21"/>
      <c r="J148" s="21"/>
      <c r="K148" s="90"/>
      <c r="L148" s="15"/>
      <c r="M148" s="15"/>
      <c r="N148" s="12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</row>
    <row r="149" spans="1:165" s="14" customFormat="1" x14ac:dyDescent="0.35">
      <c r="A149" s="42">
        <v>1</v>
      </c>
      <c r="B149" s="43" t="s">
        <v>155</v>
      </c>
      <c r="C149" s="43"/>
      <c r="D149" s="43" t="s">
        <v>54</v>
      </c>
      <c r="E149" s="44">
        <v>2400</v>
      </c>
      <c r="F149" s="45" t="s">
        <v>116</v>
      </c>
      <c r="G149" s="45"/>
      <c r="H149" s="45"/>
      <c r="I149" s="45"/>
      <c r="J149" s="45"/>
      <c r="K149" s="44">
        <f t="shared" ref="K149:K197" si="5">2400-(E149+G149+I149)</f>
        <v>0</v>
      </c>
      <c r="L149" s="43"/>
      <c r="M149" s="43"/>
      <c r="N149" s="123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</row>
    <row r="150" spans="1:165" s="14" customFormat="1" x14ac:dyDescent="0.35">
      <c r="A150" s="42">
        <v>2</v>
      </c>
      <c r="B150" s="43" t="s">
        <v>111</v>
      </c>
      <c r="C150" s="43" t="s">
        <v>20</v>
      </c>
      <c r="D150" s="43" t="s">
        <v>54</v>
      </c>
      <c r="E150" s="44">
        <v>1200</v>
      </c>
      <c r="F150" s="45" t="s">
        <v>61</v>
      </c>
      <c r="G150" s="44">
        <v>1200</v>
      </c>
      <c r="H150" s="45" t="s">
        <v>248</v>
      </c>
      <c r="I150" s="45"/>
      <c r="J150" s="45"/>
      <c r="K150" s="44">
        <f t="shared" si="5"/>
        <v>0</v>
      </c>
      <c r="L150" s="43"/>
      <c r="M150" s="43"/>
      <c r="N150" s="123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</row>
    <row r="151" spans="1:165" s="14" customFormat="1" x14ac:dyDescent="0.35">
      <c r="A151" s="42">
        <v>3</v>
      </c>
      <c r="B151" s="43" t="s">
        <v>194</v>
      </c>
      <c r="C151" s="43" t="s">
        <v>20</v>
      </c>
      <c r="D151" s="43" t="s">
        <v>54</v>
      </c>
      <c r="E151" s="44">
        <v>1200</v>
      </c>
      <c r="F151" s="45" t="s">
        <v>63</v>
      </c>
      <c r="G151" s="44">
        <v>1200</v>
      </c>
      <c r="H151" s="45" t="s">
        <v>266</v>
      </c>
      <c r="I151" s="45"/>
      <c r="J151" s="45"/>
      <c r="K151" s="44">
        <f t="shared" si="5"/>
        <v>0</v>
      </c>
      <c r="L151" s="43"/>
      <c r="M151" s="43"/>
      <c r="N151" s="123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</row>
    <row r="152" spans="1:165" s="14" customFormat="1" x14ac:dyDescent="0.35">
      <c r="A152" s="42">
        <v>4</v>
      </c>
      <c r="B152" s="43" t="s">
        <v>121</v>
      </c>
      <c r="C152" s="43" t="s">
        <v>20</v>
      </c>
      <c r="D152" s="43" t="s">
        <v>21</v>
      </c>
      <c r="E152" s="44">
        <v>2400</v>
      </c>
      <c r="F152" s="45" t="s">
        <v>66</v>
      </c>
      <c r="G152" s="45"/>
      <c r="H152" s="45"/>
      <c r="I152" s="45"/>
      <c r="J152" s="45"/>
      <c r="K152" s="44">
        <f t="shared" si="5"/>
        <v>0</v>
      </c>
      <c r="L152" s="43"/>
      <c r="M152" s="43"/>
      <c r="N152" s="123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</row>
    <row r="153" spans="1:165" s="14" customFormat="1" x14ac:dyDescent="0.35">
      <c r="A153" s="42">
        <v>5</v>
      </c>
      <c r="B153" s="43"/>
      <c r="C153" s="43" t="s">
        <v>20</v>
      </c>
      <c r="D153" s="43" t="s">
        <v>54</v>
      </c>
      <c r="E153" s="44"/>
      <c r="F153" s="45"/>
      <c r="G153" s="45"/>
      <c r="H153" s="45"/>
      <c r="I153" s="45"/>
      <c r="J153" s="45"/>
      <c r="K153" s="44">
        <f t="shared" si="5"/>
        <v>2400</v>
      </c>
      <c r="L153" s="43"/>
      <c r="M153" s="43"/>
      <c r="N153" s="12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</row>
    <row r="154" spans="1:165" s="14" customFormat="1" x14ac:dyDescent="0.35">
      <c r="A154" s="42">
        <v>6</v>
      </c>
      <c r="B154" s="43" t="s">
        <v>130</v>
      </c>
      <c r="C154" s="43" t="s">
        <v>20</v>
      </c>
      <c r="D154" s="43" t="s">
        <v>54</v>
      </c>
      <c r="E154" s="44">
        <v>2160</v>
      </c>
      <c r="F154" s="45" t="s">
        <v>50</v>
      </c>
      <c r="G154" s="45"/>
      <c r="H154" s="45"/>
      <c r="I154" s="45"/>
      <c r="J154" s="45"/>
      <c r="K154" s="44">
        <f t="shared" si="5"/>
        <v>240</v>
      </c>
      <c r="L154" s="43"/>
      <c r="M154" s="43"/>
      <c r="N154" s="123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</row>
    <row r="155" spans="1:165" s="14" customFormat="1" x14ac:dyDescent="0.35">
      <c r="A155" s="42">
        <v>7</v>
      </c>
      <c r="B155" s="43"/>
      <c r="C155" s="43" t="s">
        <v>20</v>
      </c>
      <c r="D155" s="43" t="s">
        <v>54</v>
      </c>
      <c r="E155" s="44"/>
      <c r="F155" s="45"/>
      <c r="G155" s="45"/>
      <c r="H155" s="45"/>
      <c r="I155" s="45"/>
      <c r="J155" s="45"/>
      <c r="K155" s="44">
        <f t="shared" si="5"/>
        <v>2400</v>
      </c>
      <c r="L155" s="43"/>
      <c r="M155" s="43"/>
      <c r="N155" s="123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</row>
    <row r="156" spans="1:165" s="14" customFormat="1" x14ac:dyDescent="0.35">
      <c r="A156" s="42">
        <v>8</v>
      </c>
      <c r="B156" s="43" t="s">
        <v>59</v>
      </c>
      <c r="C156" s="43" t="s">
        <v>22</v>
      </c>
      <c r="D156" s="43" t="s">
        <v>54</v>
      </c>
      <c r="E156" s="44">
        <v>1200</v>
      </c>
      <c r="F156" s="45" t="s">
        <v>58</v>
      </c>
      <c r="G156" s="44">
        <v>1200</v>
      </c>
      <c r="H156" s="45" t="s">
        <v>266</v>
      </c>
      <c r="I156" s="45"/>
      <c r="J156" s="45"/>
      <c r="K156" s="44">
        <f t="shared" si="5"/>
        <v>0</v>
      </c>
      <c r="L156" s="43"/>
      <c r="M156" s="43"/>
      <c r="N156" s="123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</row>
    <row r="157" spans="1:165" s="14" customFormat="1" x14ac:dyDescent="0.35">
      <c r="A157" s="42">
        <v>9</v>
      </c>
      <c r="B157" s="43" t="s">
        <v>126</v>
      </c>
      <c r="C157" s="43" t="s">
        <v>22</v>
      </c>
      <c r="D157" s="43" t="s">
        <v>54</v>
      </c>
      <c r="E157" s="44">
        <v>2400</v>
      </c>
      <c r="F157" s="45" t="s">
        <v>67</v>
      </c>
      <c r="G157" s="45"/>
      <c r="H157" s="45"/>
      <c r="I157" s="45"/>
      <c r="J157" s="45"/>
      <c r="K157" s="44">
        <f t="shared" si="5"/>
        <v>0</v>
      </c>
      <c r="L157" s="43"/>
      <c r="M157" s="43"/>
      <c r="N157" s="123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</row>
    <row r="158" spans="1:165" s="14" customFormat="1" x14ac:dyDescent="0.35">
      <c r="A158" s="42">
        <v>10</v>
      </c>
      <c r="B158" s="43" t="s">
        <v>196</v>
      </c>
      <c r="C158" s="43" t="s">
        <v>22</v>
      </c>
      <c r="D158" s="43" t="s">
        <v>54</v>
      </c>
      <c r="E158" s="44">
        <v>1400</v>
      </c>
      <c r="F158" s="45" t="s">
        <v>264</v>
      </c>
      <c r="G158" s="45"/>
      <c r="H158" s="45"/>
      <c r="I158" s="45"/>
      <c r="J158" s="45"/>
      <c r="K158" s="44">
        <f t="shared" si="5"/>
        <v>1000</v>
      </c>
      <c r="L158" s="43"/>
      <c r="M158" s="43"/>
      <c r="N158" s="123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</row>
    <row r="159" spans="1:165" s="14" customFormat="1" x14ac:dyDescent="0.35">
      <c r="A159" s="42">
        <v>11</v>
      </c>
      <c r="B159" s="43" t="s">
        <v>197</v>
      </c>
      <c r="C159" s="43" t="s">
        <v>22</v>
      </c>
      <c r="D159" s="43" t="s">
        <v>54</v>
      </c>
      <c r="E159" s="44">
        <v>2400</v>
      </c>
      <c r="F159" s="45" t="s">
        <v>248</v>
      </c>
      <c r="G159" s="45"/>
      <c r="H159" s="45"/>
      <c r="I159" s="45"/>
      <c r="J159" s="45"/>
      <c r="K159" s="44">
        <f t="shared" si="5"/>
        <v>0</v>
      </c>
      <c r="L159" s="43"/>
      <c r="M159" s="43"/>
      <c r="N159" s="123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</row>
    <row r="160" spans="1:165" s="14" customFormat="1" x14ac:dyDescent="0.35">
      <c r="A160" s="42">
        <v>12</v>
      </c>
      <c r="B160" s="43" t="s">
        <v>198</v>
      </c>
      <c r="C160" s="43" t="s">
        <v>22</v>
      </c>
      <c r="D160" s="43" t="s">
        <v>54</v>
      </c>
      <c r="E160" s="44">
        <v>1000</v>
      </c>
      <c r="F160" s="45" t="s">
        <v>263</v>
      </c>
      <c r="G160" s="45"/>
      <c r="H160" s="45"/>
      <c r="I160" s="45"/>
      <c r="J160" s="45"/>
      <c r="K160" s="44">
        <f t="shared" si="5"/>
        <v>1400</v>
      </c>
      <c r="L160" s="43"/>
      <c r="M160" s="43"/>
      <c r="N160" s="123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</row>
    <row r="161" spans="1:165" s="14" customFormat="1" x14ac:dyDescent="0.35">
      <c r="A161" s="42">
        <v>13</v>
      </c>
      <c r="B161" s="43" t="s">
        <v>199</v>
      </c>
      <c r="C161" s="43" t="s">
        <v>22</v>
      </c>
      <c r="D161" s="43" t="s">
        <v>54</v>
      </c>
      <c r="E161" s="44"/>
      <c r="F161" s="45"/>
      <c r="G161" s="45"/>
      <c r="H161" s="45"/>
      <c r="I161" s="45"/>
      <c r="J161" s="45"/>
      <c r="K161" s="44">
        <f t="shared" si="5"/>
        <v>2400</v>
      </c>
      <c r="L161" s="43"/>
      <c r="M161" s="43"/>
      <c r="N161" s="123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</row>
    <row r="162" spans="1:165" s="14" customFormat="1" ht="15" thickBot="1" x14ac:dyDescent="0.4">
      <c r="A162" s="30"/>
      <c r="E162" s="23"/>
      <c r="F162" s="7"/>
      <c r="G162" s="7"/>
      <c r="H162" s="7"/>
      <c r="I162" s="7"/>
      <c r="J162" s="7"/>
      <c r="K162" s="46"/>
      <c r="N162" s="119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</row>
    <row r="163" spans="1:165" s="14" customFormat="1" ht="15" thickBot="1" x14ac:dyDescent="0.4">
      <c r="A163" s="30"/>
      <c r="B163" s="52"/>
      <c r="C163" s="52"/>
      <c r="D163" s="52"/>
      <c r="E163" s="69">
        <f>SUM(E149:E162)</f>
        <v>17760</v>
      </c>
      <c r="F163" s="56"/>
      <c r="G163" s="56"/>
      <c r="H163" s="56"/>
      <c r="I163" s="56"/>
      <c r="J163" s="88"/>
      <c r="K163" s="47">
        <f>SUM(K149:K162)</f>
        <v>9840</v>
      </c>
      <c r="L163" s="89"/>
      <c r="M163" s="52"/>
      <c r="N163" s="120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</row>
    <row r="164" spans="1:165" s="14" customFormat="1" ht="15" thickBot="1" x14ac:dyDescent="0.4">
      <c r="A164" s="68"/>
      <c r="B164" s="70" t="s">
        <v>30</v>
      </c>
      <c r="C164" s="71"/>
      <c r="D164" s="71"/>
      <c r="E164" s="72"/>
      <c r="F164" s="73"/>
      <c r="G164" s="73"/>
      <c r="H164" s="73"/>
      <c r="I164" s="73"/>
      <c r="J164" s="73"/>
      <c r="K164" s="72"/>
      <c r="L164" s="71"/>
      <c r="M164" s="71"/>
      <c r="N164" s="129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</row>
    <row r="165" spans="1:165" s="14" customFormat="1" x14ac:dyDescent="0.35">
      <c r="A165" s="42">
        <v>1</v>
      </c>
      <c r="B165" s="58" t="s">
        <v>202</v>
      </c>
      <c r="C165" s="58" t="s">
        <v>22</v>
      </c>
      <c r="D165" s="58" t="s">
        <v>54</v>
      </c>
      <c r="E165" s="59">
        <v>1500</v>
      </c>
      <c r="F165" s="60" t="s">
        <v>267</v>
      </c>
      <c r="G165" s="59">
        <v>900</v>
      </c>
      <c r="H165" s="60" t="s">
        <v>284</v>
      </c>
      <c r="I165" s="60"/>
      <c r="J165" s="60"/>
      <c r="K165" s="59">
        <f t="shared" si="5"/>
        <v>0</v>
      </c>
      <c r="L165" s="58"/>
      <c r="M165" s="58"/>
      <c r="N165" s="122" t="s">
        <v>234</v>
      </c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</row>
    <row r="166" spans="1:165" s="14" customFormat="1" x14ac:dyDescent="0.35">
      <c r="A166" s="42">
        <v>2</v>
      </c>
      <c r="B166" s="43" t="s">
        <v>201</v>
      </c>
      <c r="C166" s="43" t="s">
        <v>22</v>
      </c>
      <c r="D166" s="43" t="s">
        <v>54</v>
      </c>
      <c r="E166" s="44">
        <v>2400</v>
      </c>
      <c r="F166" s="45" t="s">
        <v>60</v>
      </c>
      <c r="G166" s="45"/>
      <c r="H166" s="45"/>
      <c r="I166" s="45"/>
      <c r="J166" s="45"/>
      <c r="K166" s="44">
        <f t="shared" si="5"/>
        <v>0</v>
      </c>
      <c r="L166" s="43"/>
      <c r="M166" s="43"/>
      <c r="N166" s="123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</row>
    <row r="167" spans="1:165" s="14" customFormat="1" x14ac:dyDescent="0.35">
      <c r="A167" s="42">
        <v>3</v>
      </c>
      <c r="B167" s="43" t="s">
        <v>118</v>
      </c>
      <c r="C167" s="43" t="s">
        <v>22</v>
      </c>
      <c r="D167" s="43" t="s">
        <v>54</v>
      </c>
      <c r="E167" s="44">
        <v>1400</v>
      </c>
      <c r="F167" s="45" t="s">
        <v>65</v>
      </c>
      <c r="G167" s="44">
        <v>1000</v>
      </c>
      <c r="H167" s="45" t="s">
        <v>285</v>
      </c>
      <c r="I167" s="45"/>
      <c r="J167" s="45"/>
      <c r="K167" s="44">
        <f t="shared" si="5"/>
        <v>0</v>
      </c>
      <c r="L167" s="43"/>
      <c r="M167" s="43"/>
      <c r="N167" s="123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</row>
    <row r="168" spans="1:165" s="14" customFormat="1" x14ac:dyDescent="0.35">
      <c r="A168" s="42">
        <v>4</v>
      </c>
      <c r="B168" s="43" t="s">
        <v>120</v>
      </c>
      <c r="C168" s="43" t="s">
        <v>22</v>
      </c>
      <c r="D168" s="43" t="s">
        <v>54</v>
      </c>
      <c r="E168" s="44">
        <v>2400</v>
      </c>
      <c r="F168" s="45" t="s">
        <v>66</v>
      </c>
      <c r="G168" s="45"/>
      <c r="H168" s="45"/>
      <c r="I168" s="45"/>
      <c r="J168" s="45"/>
      <c r="K168" s="44">
        <f t="shared" si="5"/>
        <v>0</v>
      </c>
      <c r="L168" s="43"/>
      <c r="M168" s="43"/>
      <c r="N168" s="123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</row>
    <row r="169" spans="1:165" s="14" customFormat="1" x14ac:dyDescent="0.35">
      <c r="A169" s="42">
        <v>5</v>
      </c>
      <c r="B169" s="43" t="s">
        <v>137</v>
      </c>
      <c r="C169" s="43" t="s">
        <v>22</v>
      </c>
      <c r="D169" s="43" t="s">
        <v>54</v>
      </c>
      <c r="E169" s="44">
        <v>1500</v>
      </c>
      <c r="F169" s="45" t="s">
        <v>136</v>
      </c>
      <c r="G169" s="45"/>
      <c r="H169" s="45"/>
      <c r="I169" s="45"/>
      <c r="J169" s="45"/>
      <c r="K169" s="44">
        <f t="shared" si="5"/>
        <v>900</v>
      </c>
      <c r="L169" s="43"/>
      <c r="M169" s="43"/>
      <c r="N169" s="123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</row>
    <row r="170" spans="1:165" s="14" customFormat="1" x14ac:dyDescent="0.35">
      <c r="A170" s="42">
        <v>6</v>
      </c>
      <c r="B170" s="43" t="s">
        <v>145</v>
      </c>
      <c r="C170" s="43" t="s">
        <v>22</v>
      </c>
      <c r="D170" s="43" t="s">
        <v>54</v>
      </c>
      <c r="E170" s="44">
        <v>2400</v>
      </c>
      <c r="F170" s="45" t="s">
        <v>141</v>
      </c>
      <c r="G170" s="45"/>
      <c r="H170" s="45"/>
      <c r="I170" s="45"/>
      <c r="J170" s="45"/>
      <c r="K170" s="44">
        <f t="shared" si="5"/>
        <v>0</v>
      </c>
      <c r="L170" s="43"/>
      <c r="M170" s="43"/>
      <c r="N170" s="123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</row>
    <row r="171" spans="1:165" s="14" customFormat="1" x14ac:dyDescent="0.35">
      <c r="A171" s="42">
        <v>7</v>
      </c>
      <c r="B171" s="43" t="s">
        <v>178</v>
      </c>
      <c r="C171" s="43" t="s">
        <v>22</v>
      </c>
      <c r="D171" s="43" t="s">
        <v>54</v>
      </c>
      <c r="E171" s="44">
        <v>2400</v>
      </c>
      <c r="F171" s="45" t="s">
        <v>179</v>
      </c>
      <c r="G171" s="45"/>
      <c r="H171" s="45"/>
      <c r="I171" s="45"/>
      <c r="J171" s="45"/>
      <c r="K171" s="44">
        <f t="shared" si="5"/>
        <v>0</v>
      </c>
      <c r="L171" s="43"/>
      <c r="M171" s="43"/>
      <c r="N171" s="123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</row>
    <row r="172" spans="1:165" s="14" customFormat="1" ht="16.5" customHeight="1" x14ac:dyDescent="0.35">
      <c r="A172" s="42">
        <v>8</v>
      </c>
      <c r="B172" s="43" t="s">
        <v>200</v>
      </c>
      <c r="C172" s="43" t="s">
        <v>22</v>
      </c>
      <c r="D172" s="43" t="s">
        <v>54</v>
      </c>
      <c r="E172" s="44">
        <v>900</v>
      </c>
      <c r="F172" s="45" t="s">
        <v>212</v>
      </c>
      <c r="G172" s="44">
        <v>1500</v>
      </c>
      <c r="H172" s="45" t="s">
        <v>211</v>
      </c>
      <c r="I172" s="45"/>
      <c r="J172" s="45"/>
      <c r="K172" s="44">
        <f t="shared" si="5"/>
        <v>0</v>
      </c>
      <c r="L172" s="43"/>
      <c r="M172" s="43"/>
      <c r="N172" s="123" t="s">
        <v>234</v>
      </c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</row>
    <row r="173" spans="1:165" s="14" customFormat="1" x14ac:dyDescent="0.35">
      <c r="A173" s="42">
        <v>9</v>
      </c>
      <c r="B173" s="43" t="s">
        <v>203</v>
      </c>
      <c r="C173" s="43" t="s">
        <v>22</v>
      </c>
      <c r="D173" s="43" t="s">
        <v>54</v>
      </c>
      <c r="E173" s="44">
        <v>1200</v>
      </c>
      <c r="F173" s="45" t="s">
        <v>230</v>
      </c>
      <c r="G173" s="45"/>
      <c r="H173" s="45"/>
      <c r="I173" s="45"/>
      <c r="J173" s="45"/>
      <c r="K173" s="44">
        <f t="shared" si="5"/>
        <v>1200</v>
      </c>
      <c r="L173" s="43"/>
      <c r="M173" s="43"/>
      <c r="N173" s="12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</row>
    <row r="174" spans="1:165" s="14" customFormat="1" x14ac:dyDescent="0.35">
      <c r="A174" s="42">
        <v>10</v>
      </c>
      <c r="B174" s="43" t="s">
        <v>204</v>
      </c>
      <c r="C174" s="43" t="s">
        <v>22</v>
      </c>
      <c r="D174" s="43" t="s">
        <v>54</v>
      </c>
      <c r="E174" s="44">
        <v>1200</v>
      </c>
      <c r="F174" s="45" t="s">
        <v>274</v>
      </c>
      <c r="G174" s="45"/>
      <c r="H174" s="45"/>
      <c r="I174" s="45"/>
      <c r="J174" s="45"/>
      <c r="K174" s="44">
        <f t="shared" si="5"/>
        <v>1200</v>
      </c>
      <c r="L174" s="43"/>
      <c r="M174" s="43"/>
      <c r="N174" s="123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</row>
    <row r="175" spans="1:165" s="14" customFormat="1" x14ac:dyDescent="0.35">
      <c r="A175" s="42">
        <v>11</v>
      </c>
      <c r="B175" s="43" t="s">
        <v>205</v>
      </c>
      <c r="C175" s="43" t="s">
        <v>22</v>
      </c>
      <c r="D175" s="43" t="s">
        <v>54</v>
      </c>
      <c r="E175" s="44">
        <v>2400</v>
      </c>
      <c r="F175" s="45" t="s">
        <v>67</v>
      </c>
      <c r="G175" s="45"/>
      <c r="H175" s="45"/>
      <c r="I175" s="45"/>
      <c r="J175" s="45"/>
      <c r="K175" s="44">
        <f t="shared" si="5"/>
        <v>0</v>
      </c>
      <c r="L175" s="43"/>
      <c r="M175" s="43"/>
      <c r="N175" s="123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</row>
    <row r="176" spans="1:165" s="14" customFormat="1" x14ac:dyDescent="0.35">
      <c r="A176" s="42">
        <v>12</v>
      </c>
      <c r="B176" s="43" t="s">
        <v>53</v>
      </c>
      <c r="C176" s="43" t="s">
        <v>20</v>
      </c>
      <c r="D176" s="43" t="s">
        <v>54</v>
      </c>
      <c r="E176" s="44">
        <v>2400</v>
      </c>
      <c r="F176" s="45" t="s">
        <v>55</v>
      </c>
      <c r="G176" s="45"/>
      <c r="H176" s="45"/>
      <c r="I176" s="45"/>
      <c r="J176" s="45"/>
      <c r="K176" s="44">
        <f t="shared" si="5"/>
        <v>0</v>
      </c>
      <c r="L176" s="43"/>
      <c r="M176" s="43"/>
      <c r="N176" s="123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</row>
    <row r="177" spans="1:165" s="14" customFormat="1" x14ac:dyDescent="0.35">
      <c r="A177" s="42">
        <v>13</v>
      </c>
      <c r="B177" s="43" t="s">
        <v>108</v>
      </c>
      <c r="C177" s="43" t="s">
        <v>20</v>
      </c>
      <c r="D177" s="43" t="s">
        <v>54</v>
      </c>
      <c r="E177" s="44">
        <v>2400</v>
      </c>
      <c r="F177" s="45" t="s">
        <v>60</v>
      </c>
      <c r="G177" s="45"/>
      <c r="H177" s="45"/>
      <c r="I177" s="45"/>
      <c r="J177" s="45"/>
      <c r="K177" s="44">
        <f t="shared" si="5"/>
        <v>0</v>
      </c>
      <c r="L177" s="43"/>
      <c r="M177" s="43"/>
      <c r="N177" s="123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</row>
    <row r="178" spans="1:165" s="14" customFormat="1" x14ac:dyDescent="0.35">
      <c r="A178" s="42">
        <v>14</v>
      </c>
      <c r="B178" s="43" t="s">
        <v>233</v>
      </c>
      <c r="C178" s="43" t="s">
        <v>20</v>
      </c>
      <c r="D178" s="43" t="s">
        <v>54</v>
      </c>
      <c r="E178" s="44">
        <v>1400</v>
      </c>
      <c r="F178" s="45" t="s">
        <v>247</v>
      </c>
      <c r="G178" s="45"/>
      <c r="H178" s="45"/>
      <c r="I178" s="45"/>
      <c r="J178" s="45"/>
      <c r="K178" s="44">
        <v>1000</v>
      </c>
      <c r="L178" s="43"/>
      <c r="M178" s="43"/>
      <c r="N178" s="123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</row>
    <row r="179" spans="1:165" s="14" customFormat="1" x14ac:dyDescent="0.35">
      <c r="A179" s="42">
        <v>15</v>
      </c>
      <c r="B179" s="43" t="s">
        <v>237</v>
      </c>
      <c r="C179" s="43" t="s">
        <v>20</v>
      </c>
      <c r="D179" s="43" t="s">
        <v>54</v>
      </c>
      <c r="E179" s="44"/>
      <c r="F179" s="45"/>
      <c r="G179" s="45"/>
      <c r="H179" s="45"/>
      <c r="I179" s="45"/>
      <c r="J179" s="45"/>
      <c r="K179" s="44">
        <v>2400</v>
      </c>
      <c r="L179" s="43"/>
      <c r="M179" s="43"/>
      <c r="N179" s="123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</row>
    <row r="180" spans="1:165" s="14" customFormat="1" x14ac:dyDescent="0.35">
      <c r="A180" s="42">
        <v>16</v>
      </c>
      <c r="B180" s="43" t="s">
        <v>238</v>
      </c>
      <c r="C180" s="43" t="s">
        <v>20</v>
      </c>
      <c r="D180" s="43" t="s">
        <v>54</v>
      </c>
      <c r="E180" s="44">
        <v>1500</v>
      </c>
      <c r="F180" s="45" t="s">
        <v>274</v>
      </c>
      <c r="G180" s="45"/>
      <c r="H180" s="45"/>
      <c r="I180" s="45"/>
      <c r="J180" s="45"/>
      <c r="K180" s="44">
        <v>2400</v>
      </c>
      <c r="L180" s="43"/>
      <c r="M180" s="43"/>
      <c r="N180" s="123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</row>
    <row r="181" spans="1:165" s="14" customFormat="1" x14ac:dyDescent="0.35">
      <c r="A181" s="42">
        <v>17</v>
      </c>
      <c r="B181" s="43" t="s">
        <v>239</v>
      </c>
      <c r="C181" s="43" t="s">
        <v>20</v>
      </c>
      <c r="D181" s="43" t="s">
        <v>54</v>
      </c>
      <c r="E181" s="44">
        <v>2400</v>
      </c>
      <c r="F181" s="45" t="s">
        <v>273</v>
      </c>
      <c r="G181" s="45"/>
      <c r="H181" s="45"/>
      <c r="I181" s="45"/>
      <c r="J181" s="45"/>
      <c r="K181" s="44">
        <v>2400</v>
      </c>
      <c r="L181" s="43"/>
      <c r="M181" s="43"/>
      <c r="N181" s="123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</row>
    <row r="182" spans="1:165" s="14" customFormat="1" x14ac:dyDescent="0.35">
      <c r="A182" s="42">
        <v>18</v>
      </c>
      <c r="B182" s="43" t="s">
        <v>240</v>
      </c>
      <c r="C182" s="43" t="s">
        <v>20</v>
      </c>
      <c r="D182" s="43" t="s">
        <v>54</v>
      </c>
      <c r="E182" s="44">
        <v>2400</v>
      </c>
      <c r="F182" s="45" t="s">
        <v>61</v>
      </c>
      <c r="G182" s="45"/>
      <c r="H182" s="45"/>
      <c r="I182" s="45"/>
      <c r="J182" s="45"/>
      <c r="K182" s="44"/>
      <c r="L182" s="43"/>
      <c r="M182" s="43"/>
      <c r="N182" s="123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</row>
    <row r="183" spans="1:165" s="14" customFormat="1" x14ac:dyDescent="0.35">
      <c r="A183" s="42">
        <v>19</v>
      </c>
      <c r="B183" s="43" t="s">
        <v>241</v>
      </c>
      <c r="C183" s="43" t="s">
        <v>20</v>
      </c>
      <c r="D183" s="43" t="s">
        <v>54</v>
      </c>
      <c r="E183" s="44">
        <v>1200</v>
      </c>
      <c r="F183" s="45" t="s">
        <v>247</v>
      </c>
      <c r="G183" s="45"/>
      <c r="H183" s="45"/>
      <c r="I183" s="45"/>
      <c r="J183" s="45"/>
      <c r="K183" s="44">
        <v>1200</v>
      </c>
      <c r="L183" s="43"/>
      <c r="M183" s="43"/>
      <c r="N183" s="123" t="s">
        <v>234</v>
      </c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</row>
    <row r="184" spans="1:165" s="14" customFormat="1" ht="15" thickBot="1" x14ac:dyDescent="0.4">
      <c r="A184" s="30"/>
      <c r="E184" s="46"/>
      <c r="F184" s="7"/>
      <c r="G184" s="7"/>
      <c r="H184" s="7"/>
      <c r="I184" s="7"/>
      <c r="J184" s="7"/>
      <c r="K184" s="46"/>
      <c r="N184" s="119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</row>
    <row r="185" spans="1:165" s="14" customFormat="1" ht="15" thickBot="1" x14ac:dyDescent="0.4">
      <c r="A185" s="51"/>
      <c r="B185" s="52"/>
      <c r="C185" s="52"/>
      <c r="D185" s="53"/>
      <c r="E185" s="78">
        <f>SUM(E166:E184)</f>
        <v>31900</v>
      </c>
      <c r="F185" s="55"/>
      <c r="G185" s="56"/>
      <c r="H185" s="56"/>
      <c r="I185" s="56"/>
      <c r="J185" s="88"/>
      <c r="K185" s="47">
        <f>SUM(K165:K184)</f>
        <v>12700</v>
      </c>
      <c r="L185" s="89"/>
      <c r="M185" s="52"/>
      <c r="N185" s="120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</row>
    <row r="186" spans="1:165" s="14" customFormat="1" ht="15" thickBot="1" x14ac:dyDescent="0.4">
      <c r="A186" s="61"/>
      <c r="B186" s="74" t="s">
        <v>31</v>
      </c>
      <c r="C186" s="75"/>
      <c r="D186" s="75"/>
      <c r="E186" s="76"/>
      <c r="F186" s="77"/>
      <c r="G186" s="77"/>
      <c r="H186" s="77"/>
      <c r="I186" s="77"/>
      <c r="J186" s="77"/>
      <c r="K186" s="76"/>
      <c r="L186" s="75"/>
      <c r="M186" s="75"/>
      <c r="N186" s="130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</row>
    <row r="187" spans="1:165" s="14" customFormat="1" x14ac:dyDescent="0.35">
      <c r="A187" s="57">
        <v>1</v>
      </c>
      <c r="B187" s="58" t="s">
        <v>56</v>
      </c>
      <c r="C187" s="58" t="s">
        <v>20</v>
      </c>
      <c r="D187" s="58" t="s">
        <v>54</v>
      </c>
      <c r="E187" s="59">
        <v>1000</v>
      </c>
      <c r="F187" s="60" t="s">
        <v>55</v>
      </c>
      <c r="G187" s="59">
        <v>1400</v>
      </c>
      <c r="H187" s="60" t="s">
        <v>275</v>
      </c>
      <c r="I187" s="60"/>
      <c r="J187" s="60"/>
      <c r="K187" s="59">
        <f t="shared" si="5"/>
        <v>0</v>
      </c>
      <c r="L187" s="58"/>
      <c r="M187" s="58"/>
      <c r="N187" s="122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</row>
    <row r="188" spans="1:165" s="14" customFormat="1" x14ac:dyDescent="0.35">
      <c r="A188" s="42">
        <v>2</v>
      </c>
      <c r="B188" s="43" t="s">
        <v>57</v>
      </c>
      <c r="C188" s="43" t="s">
        <v>20</v>
      </c>
      <c r="D188" s="43" t="s">
        <v>54</v>
      </c>
      <c r="E188" s="44">
        <v>2400</v>
      </c>
      <c r="F188" s="45" t="s">
        <v>60</v>
      </c>
      <c r="G188" s="45"/>
      <c r="H188" s="45"/>
      <c r="I188" s="45"/>
      <c r="J188" s="45"/>
      <c r="K188" s="44">
        <f t="shared" si="5"/>
        <v>0</v>
      </c>
      <c r="L188" s="43"/>
      <c r="M188" s="43"/>
      <c r="N188" s="123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</row>
    <row r="189" spans="1:165" s="14" customFormat="1" x14ac:dyDescent="0.35">
      <c r="A189" s="42">
        <v>3</v>
      </c>
      <c r="B189" s="43" t="s">
        <v>113</v>
      </c>
      <c r="C189" s="43" t="s">
        <v>20</v>
      </c>
      <c r="D189" s="43" t="s">
        <v>54</v>
      </c>
      <c r="E189" s="44">
        <v>2400</v>
      </c>
      <c r="F189" s="45" t="s">
        <v>62</v>
      </c>
      <c r="G189" s="45"/>
      <c r="H189" s="45"/>
      <c r="I189" s="45"/>
      <c r="J189" s="45"/>
      <c r="K189" s="44">
        <f t="shared" si="5"/>
        <v>0</v>
      </c>
      <c r="L189" s="43"/>
      <c r="M189" s="43"/>
      <c r="N189" s="123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</row>
    <row r="190" spans="1:165" s="14" customFormat="1" x14ac:dyDescent="0.35">
      <c r="A190" s="42">
        <v>4</v>
      </c>
      <c r="B190" s="43" t="s">
        <v>206</v>
      </c>
      <c r="C190" s="43" t="s">
        <v>20</v>
      </c>
      <c r="D190" s="43" t="s">
        <v>54</v>
      </c>
      <c r="E190" s="44"/>
      <c r="F190" s="45"/>
      <c r="G190" s="45"/>
      <c r="H190" s="45"/>
      <c r="I190" s="45"/>
      <c r="J190" s="45"/>
      <c r="K190" s="44">
        <f t="shared" si="5"/>
        <v>2400</v>
      </c>
      <c r="L190" s="43"/>
      <c r="M190" s="43"/>
      <c r="N190" s="123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</row>
    <row r="191" spans="1:165" s="14" customFormat="1" x14ac:dyDescent="0.35">
      <c r="A191" s="42">
        <v>5</v>
      </c>
      <c r="B191" s="43" t="s">
        <v>207</v>
      </c>
      <c r="C191" s="43" t="s">
        <v>20</v>
      </c>
      <c r="D191" s="43" t="s">
        <v>54</v>
      </c>
      <c r="E191" s="44">
        <v>1500</v>
      </c>
      <c r="F191" s="45" t="s">
        <v>262</v>
      </c>
      <c r="G191" s="45"/>
      <c r="H191" s="45"/>
      <c r="I191" s="45"/>
      <c r="J191" s="45"/>
      <c r="K191" s="44">
        <f t="shared" si="5"/>
        <v>900</v>
      </c>
      <c r="L191" s="43"/>
      <c r="M191" s="43"/>
      <c r="N191" s="123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</row>
    <row r="192" spans="1:165" s="14" customFormat="1" x14ac:dyDescent="0.35">
      <c r="A192" s="42">
        <v>6</v>
      </c>
      <c r="B192" s="43" t="s">
        <v>148</v>
      </c>
      <c r="C192" s="43" t="s">
        <v>20</v>
      </c>
      <c r="D192" s="43" t="s">
        <v>54</v>
      </c>
      <c r="E192" s="44">
        <v>2400</v>
      </c>
      <c r="F192" s="45" t="s">
        <v>147</v>
      </c>
      <c r="G192" s="45"/>
      <c r="H192" s="45"/>
      <c r="I192" s="45"/>
      <c r="J192" s="45"/>
      <c r="K192" s="44">
        <f t="shared" si="5"/>
        <v>0</v>
      </c>
      <c r="L192" s="43"/>
      <c r="M192" s="43"/>
      <c r="N192" s="123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</row>
    <row r="193" spans="1:165" s="14" customFormat="1" x14ac:dyDescent="0.35">
      <c r="A193" s="42">
        <v>7</v>
      </c>
      <c r="B193" s="43" t="s">
        <v>154</v>
      </c>
      <c r="C193" s="43" t="s">
        <v>20</v>
      </c>
      <c r="D193" s="43" t="s">
        <v>54</v>
      </c>
      <c r="E193" s="44">
        <v>2400</v>
      </c>
      <c r="F193" s="45" t="s">
        <v>147</v>
      </c>
      <c r="G193" s="45"/>
      <c r="H193" s="45"/>
      <c r="I193" s="45"/>
      <c r="J193" s="45"/>
      <c r="K193" s="44">
        <f t="shared" si="5"/>
        <v>0</v>
      </c>
      <c r="L193" s="43"/>
      <c r="M193" s="43"/>
      <c r="N193" s="12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</row>
    <row r="194" spans="1:165" s="14" customFormat="1" x14ac:dyDescent="0.35">
      <c r="A194" s="42">
        <v>8</v>
      </c>
      <c r="B194" s="43" t="s">
        <v>208</v>
      </c>
      <c r="C194" s="43" t="s">
        <v>20</v>
      </c>
      <c r="D194" s="43" t="s">
        <v>54</v>
      </c>
      <c r="E194" s="44">
        <v>2280</v>
      </c>
      <c r="F194" s="45" t="s">
        <v>67</v>
      </c>
      <c r="G194" s="45"/>
      <c r="H194" s="45"/>
      <c r="I194" s="45"/>
      <c r="J194" s="45"/>
      <c r="K194" s="44">
        <f t="shared" si="5"/>
        <v>120</v>
      </c>
      <c r="L194" s="43"/>
      <c r="M194" s="43"/>
      <c r="N194" s="125" t="s">
        <v>159</v>
      </c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</row>
    <row r="195" spans="1:165" s="14" customFormat="1" x14ac:dyDescent="0.35">
      <c r="A195" s="42">
        <v>9</v>
      </c>
      <c r="B195" s="43" t="s">
        <v>209</v>
      </c>
      <c r="C195" s="43" t="s">
        <v>20</v>
      </c>
      <c r="D195" s="43" t="s">
        <v>54</v>
      </c>
      <c r="E195" s="44">
        <v>2400</v>
      </c>
      <c r="F195" s="45" t="s">
        <v>67</v>
      </c>
      <c r="G195" s="45"/>
      <c r="H195" s="45"/>
      <c r="I195" s="45"/>
      <c r="J195" s="45"/>
      <c r="K195" s="44">
        <f t="shared" si="5"/>
        <v>0</v>
      </c>
      <c r="L195" s="43"/>
      <c r="M195" s="43"/>
      <c r="N195" s="123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</row>
    <row r="196" spans="1:165" s="14" customFormat="1" x14ac:dyDescent="0.35">
      <c r="A196" s="42">
        <v>10</v>
      </c>
      <c r="B196" s="43" t="s">
        <v>122</v>
      </c>
      <c r="C196" s="43" t="s">
        <v>22</v>
      </c>
      <c r="D196" s="43" t="s">
        <v>21</v>
      </c>
      <c r="E196" s="44">
        <v>2400</v>
      </c>
      <c r="F196" s="45" t="s">
        <v>66</v>
      </c>
      <c r="G196" s="45"/>
      <c r="H196" s="45"/>
      <c r="I196" s="45"/>
      <c r="J196" s="45"/>
      <c r="K196" s="44">
        <f t="shared" si="5"/>
        <v>0</v>
      </c>
      <c r="L196" s="43"/>
      <c r="M196" s="43"/>
      <c r="N196" s="123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</row>
    <row r="197" spans="1:165" s="14" customFormat="1" x14ac:dyDescent="0.35">
      <c r="A197" s="42">
        <v>11</v>
      </c>
      <c r="B197" s="43" t="s">
        <v>124</v>
      </c>
      <c r="C197" s="43" t="s">
        <v>22</v>
      </c>
      <c r="D197" s="43" t="s">
        <v>54</v>
      </c>
      <c r="E197" s="44">
        <v>1800</v>
      </c>
      <c r="F197" s="45" t="s">
        <v>66</v>
      </c>
      <c r="G197" s="45"/>
      <c r="H197" s="45"/>
      <c r="I197" s="45"/>
      <c r="J197" s="45"/>
      <c r="K197" s="44">
        <f t="shared" si="5"/>
        <v>600</v>
      </c>
      <c r="L197" s="43"/>
      <c r="M197" s="43"/>
      <c r="N197" s="123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</row>
    <row r="198" spans="1:165" s="14" customFormat="1" ht="16.5" customHeight="1" x14ac:dyDescent="0.35">
      <c r="A198" s="42">
        <v>12</v>
      </c>
      <c r="B198" s="43" t="s">
        <v>210</v>
      </c>
      <c r="C198" s="43" t="s">
        <v>22</v>
      </c>
      <c r="D198" s="43" t="s">
        <v>54</v>
      </c>
      <c r="E198" s="44">
        <v>900</v>
      </c>
      <c r="F198" s="45" t="s">
        <v>212</v>
      </c>
      <c r="G198" s="44">
        <v>1500</v>
      </c>
      <c r="H198" s="45" t="s">
        <v>211</v>
      </c>
      <c r="I198" s="45"/>
      <c r="J198" s="45"/>
      <c r="K198" s="44">
        <f t="shared" ref="K198:K226" si="6">2400-(E198+G198+I198)</f>
        <v>0</v>
      </c>
      <c r="L198" s="43"/>
      <c r="M198" s="43"/>
      <c r="N198" s="123" t="s">
        <v>234</v>
      </c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</row>
    <row r="199" spans="1:165" s="14" customFormat="1" x14ac:dyDescent="0.35">
      <c r="A199" s="42">
        <v>13</v>
      </c>
      <c r="B199" s="43" t="s">
        <v>213</v>
      </c>
      <c r="C199" s="43" t="s">
        <v>22</v>
      </c>
      <c r="D199" s="43" t="s">
        <v>54</v>
      </c>
      <c r="E199" s="44"/>
      <c r="F199" s="45"/>
      <c r="G199" s="45"/>
      <c r="H199" s="45"/>
      <c r="I199" s="45"/>
      <c r="J199" s="45"/>
      <c r="K199" s="44">
        <f t="shared" si="6"/>
        <v>2400</v>
      </c>
      <c r="L199" s="43"/>
      <c r="M199" s="43"/>
      <c r="N199" s="123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</row>
    <row r="200" spans="1:165" s="14" customFormat="1" x14ac:dyDescent="0.35">
      <c r="A200" s="42">
        <v>14</v>
      </c>
      <c r="B200" s="43" t="s">
        <v>214</v>
      </c>
      <c r="C200" s="43" t="s">
        <v>22</v>
      </c>
      <c r="D200" s="43" t="s">
        <v>54</v>
      </c>
      <c r="E200" s="44">
        <v>2000</v>
      </c>
      <c r="F200" s="146" t="s">
        <v>270</v>
      </c>
      <c r="G200" s="45"/>
      <c r="H200" s="45"/>
      <c r="I200" s="45"/>
      <c r="J200" s="45"/>
      <c r="K200" s="44">
        <f t="shared" si="6"/>
        <v>400</v>
      </c>
      <c r="L200" s="43"/>
      <c r="M200" s="43"/>
      <c r="N200" s="123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</row>
    <row r="201" spans="1:165" s="14" customFormat="1" x14ac:dyDescent="0.35">
      <c r="A201" s="42">
        <v>15</v>
      </c>
      <c r="B201" s="43" t="s">
        <v>190</v>
      </c>
      <c r="C201" s="43" t="s">
        <v>22</v>
      </c>
      <c r="D201" s="43" t="s">
        <v>54</v>
      </c>
      <c r="E201" s="44">
        <v>1800</v>
      </c>
      <c r="F201" s="45" t="s">
        <v>270</v>
      </c>
      <c r="G201" s="45"/>
      <c r="H201" s="45"/>
      <c r="I201" s="45"/>
      <c r="J201" s="45"/>
      <c r="K201" s="44">
        <f t="shared" si="6"/>
        <v>600</v>
      </c>
      <c r="L201" s="43"/>
      <c r="M201" s="43"/>
      <c r="N201" s="123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</row>
    <row r="202" spans="1:165" s="14" customFormat="1" x14ac:dyDescent="0.35">
      <c r="A202" s="42">
        <v>16</v>
      </c>
      <c r="B202" s="43" t="s">
        <v>243</v>
      </c>
      <c r="C202" s="43" t="s">
        <v>22</v>
      </c>
      <c r="D202" s="43" t="s">
        <v>54</v>
      </c>
      <c r="E202" s="44"/>
      <c r="F202" s="45"/>
      <c r="G202" s="45"/>
      <c r="H202" s="45"/>
      <c r="I202" s="45"/>
      <c r="J202" s="45"/>
      <c r="K202" s="44">
        <v>2400</v>
      </c>
      <c r="L202" s="43"/>
      <c r="M202" s="43"/>
      <c r="N202" s="123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</row>
    <row r="203" spans="1:165" s="14" customFormat="1" x14ac:dyDescent="0.35">
      <c r="A203" s="42">
        <v>17</v>
      </c>
      <c r="B203" s="43" t="s">
        <v>242</v>
      </c>
      <c r="C203" s="43" t="s">
        <v>22</v>
      </c>
      <c r="D203" s="43" t="s">
        <v>54</v>
      </c>
      <c r="E203" s="44"/>
      <c r="F203" s="45"/>
      <c r="G203" s="45"/>
      <c r="H203" s="45"/>
      <c r="I203" s="45"/>
      <c r="J203" s="45"/>
      <c r="K203" s="44">
        <v>2400</v>
      </c>
      <c r="L203" s="43"/>
      <c r="M203" s="43"/>
      <c r="N203" s="12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</row>
    <row r="204" spans="1:165" s="14" customFormat="1" ht="15" thickBot="1" x14ac:dyDescent="0.4">
      <c r="A204" s="30"/>
      <c r="E204" s="46"/>
      <c r="F204" s="7"/>
      <c r="G204" s="7"/>
      <c r="H204" s="7"/>
      <c r="I204" s="7"/>
      <c r="J204" s="7"/>
      <c r="K204" s="46"/>
      <c r="N204" s="119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</row>
    <row r="205" spans="1:165" s="14" customFormat="1" ht="15" thickBot="1" x14ac:dyDescent="0.4">
      <c r="A205" s="51"/>
      <c r="B205" s="52"/>
      <c r="C205" s="52"/>
      <c r="D205" s="53"/>
      <c r="E205" s="78">
        <f>SUM(E187:E204)</f>
        <v>25680</v>
      </c>
      <c r="F205" s="55"/>
      <c r="G205" s="56"/>
      <c r="H205" s="56"/>
      <c r="I205" s="56"/>
      <c r="J205" s="88"/>
      <c r="K205" s="47">
        <f>SUM(K187:K204)</f>
        <v>12220</v>
      </c>
      <c r="L205" s="89"/>
      <c r="M205" s="52"/>
      <c r="N205" s="120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</row>
    <row r="206" spans="1:165" s="14" customFormat="1" ht="15" thickBot="1" x14ac:dyDescent="0.4">
      <c r="A206" s="61"/>
      <c r="B206" s="79" t="s">
        <v>32</v>
      </c>
      <c r="C206" s="80"/>
      <c r="D206" s="80"/>
      <c r="E206" s="81"/>
      <c r="F206" s="82"/>
      <c r="G206" s="82"/>
      <c r="H206" s="82"/>
      <c r="I206" s="82"/>
      <c r="J206" s="82"/>
      <c r="K206" s="81"/>
      <c r="L206" s="80"/>
      <c r="M206" s="80"/>
      <c r="N206" s="131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</row>
    <row r="207" spans="1:165" s="14" customFormat="1" x14ac:dyDescent="0.35">
      <c r="A207" s="57">
        <v>1</v>
      </c>
      <c r="B207" s="58" t="s">
        <v>215</v>
      </c>
      <c r="C207" s="58" t="s">
        <v>22</v>
      </c>
      <c r="D207" s="58" t="s">
        <v>54</v>
      </c>
      <c r="E207" s="59">
        <v>1000</v>
      </c>
      <c r="F207" s="60" t="s">
        <v>58</v>
      </c>
      <c r="G207" s="59">
        <v>1400</v>
      </c>
      <c r="H207" s="60" t="s">
        <v>275</v>
      </c>
      <c r="I207" s="60"/>
      <c r="J207" s="60"/>
      <c r="K207" s="59">
        <f t="shared" si="6"/>
        <v>0</v>
      </c>
      <c r="L207" s="58"/>
      <c r="M207" s="58"/>
      <c r="N207" s="122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</row>
    <row r="208" spans="1:165" s="14" customFormat="1" x14ac:dyDescent="0.35">
      <c r="A208" s="42">
        <v>2</v>
      </c>
      <c r="B208" s="43" t="s">
        <v>69</v>
      </c>
      <c r="C208" s="43" t="s">
        <v>22</v>
      </c>
      <c r="D208" s="43" t="s">
        <v>54</v>
      </c>
      <c r="E208" s="44">
        <v>1200</v>
      </c>
      <c r="F208" s="45" t="s">
        <v>58</v>
      </c>
      <c r="G208" s="44">
        <v>1200</v>
      </c>
      <c r="H208" s="45" t="s">
        <v>265</v>
      </c>
      <c r="I208" s="45"/>
      <c r="J208" s="45"/>
      <c r="K208" s="44">
        <f t="shared" si="6"/>
        <v>0</v>
      </c>
      <c r="L208" s="43"/>
      <c r="M208" s="43"/>
      <c r="N208" s="123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</row>
    <row r="209" spans="1:165" s="14" customFormat="1" x14ac:dyDescent="0.35">
      <c r="A209" s="42">
        <v>3</v>
      </c>
      <c r="B209" s="43" t="s">
        <v>216</v>
      </c>
      <c r="C209" s="43" t="s">
        <v>22</v>
      </c>
      <c r="D209" s="43" t="s">
        <v>54</v>
      </c>
      <c r="E209" s="44"/>
      <c r="F209" s="45"/>
      <c r="G209" s="45"/>
      <c r="H209" s="45"/>
      <c r="I209" s="45"/>
      <c r="J209" s="45"/>
      <c r="K209" s="44">
        <f t="shared" si="6"/>
        <v>2400</v>
      </c>
      <c r="L209" s="43"/>
      <c r="M209" s="43"/>
      <c r="N209" s="123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</row>
    <row r="210" spans="1:165" s="14" customFormat="1" x14ac:dyDescent="0.35">
      <c r="A210" s="42">
        <v>4</v>
      </c>
      <c r="B210" s="43" t="s">
        <v>217</v>
      </c>
      <c r="C210" s="43" t="s">
        <v>22</v>
      </c>
      <c r="D210" s="43" t="s">
        <v>54</v>
      </c>
      <c r="E210" s="44"/>
      <c r="F210" s="45"/>
      <c r="G210" s="45"/>
      <c r="H210" s="45"/>
      <c r="I210" s="45"/>
      <c r="J210" s="45"/>
      <c r="K210" s="44">
        <f t="shared" si="6"/>
        <v>2400</v>
      </c>
      <c r="L210" s="43"/>
      <c r="M210" s="43"/>
      <c r="N210" s="123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</row>
    <row r="211" spans="1:165" s="14" customFormat="1" x14ac:dyDescent="0.35">
      <c r="A211" s="42">
        <v>5</v>
      </c>
      <c r="B211" s="43" t="s">
        <v>115</v>
      </c>
      <c r="C211" s="43" t="s">
        <v>22</v>
      </c>
      <c r="D211" s="43" t="s">
        <v>54</v>
      </c>
      <c r="E211" s="44">
        <v>1200</v>
      </c>
      <c r="F211" s="45" t="s">
        <v>63</v>
      </c>
      <c r="G211" s="44">
        <v>1200</v>
      </c>
      <c r="H211" s="45"/>
      <c r="I211" s="45"/>
      <c r="J211" s="45"/>
      <c r="K211" s="44">
        <f t="shared" si="6"/>
        <v>0</v>
      </c>
      <c r="L211" s="43"/>
      <c r="M211" s="43"/>
      <c r="N211" s="123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</row>
    <row r="212" spans="1:165" s="14" customFormat="1" x14ac:dyDescent="0.35">
      <c r="A212" s="42">
        <v>6</v>
      </c>
      <c r="B212" s="43" t="s">
        <v>129</v>
      </c>
      <c r="C212" s="43" t="s">
        <v>22</v>
      </c>
      <c r="D212" s="43" t="s">
        <v>54</v>
      </c>
      <c r="E212" s="44">
        <v>2400</v>
      </c>
      <c r="F212" s="45" t="s">
        <v>50</v>
      </c>
      <c r="G212" s="45"/>
      <c r="H212" s="45"/>
      <c r="I212" s="45"/>
      <c r="J212" s="45"/>
      <c r="K212" s="44">
        <f t="shared" si="6"/>
        <v>0</v>
      </c>
      <c r="L212" s="43"/>
      <c r="M212" s="43"/>
      <c r="N212" s="123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</row>
    <row r="213" spans="1:165" s="14" customFormat="1" x14ac:dyDescent="0.35">
      <c r="A213" s="42">
        <v>7</v>
      </c>
      <c r="B213" s="43" t="s">
        <v>218</v>
      </c>
      <c r="C213" s="43" t="s">
        <v>22</v>
      </c>
      <c r="D213" s="43" t="s">
        <v>54</v>
      </c>
      <c r="E213" s="44">
        <v>2400</v>
      </c>
      <c r="F213" s="45" t="s">
        <v>244</v>
      </c>
      <c r="G213" s="45"/>
      <c r="H213" s="45"/>
      <c r="I213" s="45"/>
      <c r="J213" s="45"/>
      <c r="K213" s="44">
        <f t="shared" si="6"/>
        <v>0</v>
      </c>
      <c r="L213" s="43"/>
      <c r="M213" s="43"/>
      <c r="N213" s="12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</row>
    <row r="214" spans="1:165" s="14" customFormat="1" x14ac:dyDescent="0.35">
      <c r="A214" s="42">
        <v>8</v>
      </c>
      <c r="B214" s="43" t="s">
        <v>219</v>
      </c>
      <c r="C214" s="43" t="s">
        <v>22</v>
      </c>
      <c r="D214" s="43" t="s">
        <v>54</v>
      </c>
      <c r="E214" s="44"/>
      <c r="F214" s="45"/>
      <c r="G214" s="45"/>
      <c r="H214" s="45"/>
      <c r="I214" s="45"/>
      <c r="J214" s="45"/>
      <c r="K214" s="44">
        <f t="shared" si="6"/>
        <v>2400</v>
      </c>
      <c r="L214" s="43"/>
      <c r="M214" s="43"/>
      <c r="N214" s="123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</row>
    <row r="215" spans="1:165" s="14" customFormat="1" x14ac:dyDescent="0.35">
      <c r="A215" s="42">
        <v>9</v>
      </c>
      <c r="B215" s="43" t="s">
        <v>220</v>
      </c>
      <c r="C215" s="43" t="s">
        <v>22</v>
      </c>
      <c r="D215" s="43" t="s">
        <v>54</v>
      </c>
      <c r="E215" s="44">
        <v>1200</v>
      </c>
      <c r="F215" s="45" t="s">
        <v>250</v>
      </c>
      <c r="G215" s="45"/>
      <c r="H215" s="45"/>
      <c r="I215" s="45"/>
      <c r="J215" s="45"/>
      <c r="K215" s="44">
        <f t="shared" si="6"/>
        <v>1200</v>
      </c>
      <c r="L215" s="43"/>
      <c r="M215" s="43"/>
      <c r="N215" s="123" t="s">
        <v>234</v>
      </c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</row>
    <row r="216" spans="1:165" s="14" customFormat="1" x14ac:dyDescent="0.35">
      <c r="A216" s="42">
        <v>10</v>
      </c>
      <c r="B216" s="43" t="s">
        <v>221</v>
      </c>
      <c r="C216" s="43" t="s">
        <v>22</v>
      </c>
      <c r="D216" s="43" t="s">
        <v>54</v>
      </c>
      <c r="E216" s="44"/>
      <c r="F216" s="45"/>
      <c r="G216" s="45"/>
      <c r="H216" s="45"/>
      <c r="I216" s="45"/>
      <c r="J216" s="45"/>
      <c r="K216" s="44">
        <f t="shared" si="6"/>
        <v>2400</v>
      </c>
      <c r="L216" s="43"/>
      <c r="M216" s="43"/>
      <c r="N216" s="123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</row>
    <row r="217" spans="1:165" s="14" customFormat="1" x14ac:dyDescent="0.35">
      <c r="A217" s="42">
        <v>11</v>
      </c>
      <c r="B217" s="43" t="s">
        <v>222</v>
      </c>
      <c r="C217" s="43" t="s">
        <v>22</v>
      </c>
      <c r="D217" s="43" t="s">
        <v>54</v>
      </c>
      <c r="E217" s="44"/>
      <c r="F217" s="45"/>
      <c r="G217" s="45"/>
      <c r="H217" s="45"/>
      <c r="I217" s="45"/>
      <c r="J217" s="45"/>
      <c r="K217" s="44">
        <v>0</v>
      </c>
      <c r="L217" s="43"/>
      <c r="M217" s="43"/>
      <c r="N217" s="123" t="s">
        <v>51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</row>
    <row r="218" spans="1:165" s="14" customFormat="1" x14ac:dyDescent="0.35">
      <c r="A218" s="42">
        <v>12</v>
      </c>
      <c r="B218" s="43" t="s">
        <v>112</v>
      </c>
      <c r="C218" s="43" t="s">
        <v>20</v>
      </c>
      <c r="D218" s="43" t="s">
        <v>54</v>
      </c>
      <c r="E218" s="44">
        <v>1200</v>
      </c>
      <c r="F218" s="45" t="s">
        <v>61</v>
      </c>
      <c r="G218" s="44">
        <v>1200</v>
      </c>
      <c r="H218" s="45" t="s">
        <v>249</v>
      </c>
      <c r="I218" s="45"/>
      <c r="J218" s="45"/>
      <c r="K218" s="44">
        <f t="shared" si="6"/>
        <v>0</v>
      </c>
      <c r="L218" s="43"/>
      <c r="M218" s="43"/>
      <c r="N218" s="123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</row>
    <row r="219" spans="1:165" s="14" customFormat="1" x14ac:dyDescent="0.35">
      <c r="A219" s="42">
        <v>13</v>
      </c>
      <c r="B219" s="43" t="s">
        <v>109</v>
      </c>
      <c r="C219" s="43" t="s">
        <v>20</v>
      </c>
      <c r="D219" s="43" t="s">
        <v>54</v>
      </c>
      <c r="E219" s="44">
        <v>2400</v>
      </c>
      <c r="F219" s="45" t="s">
        <v>60</v>
      </c>
      <c r="G219" s="45"/>
      <c r="H219" s="45"/>
      <c r="I219" s="45"/>
      <c r="J219" s="45"/>
      <c r="K219" s="44">
        <f t="shared" si="6"/>
        <v>0</v>
      </c>
      <c r="L219" s="43"/>
      <c r="M219" s="43"/>
      <c r="N219" s="123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</row>
    <row r="220" spans="1:165" s="14" customFormat="1" x14ac:dyDescent="0.35">
      <c r="A220" s="42">
        <v>14</v>
      </c>
      <c r="B220" s="43" t="s">
        <v>223</v>
      </c>
      <c r="C220" s="43" t="s">
        <v>20</v>
      </c>
      <c r="D220" s="43" t="s">
        <v>54</v>
      </c>
      <c r="E220" s="44">
        <v>2112</v>
      </c>
      <c r="F220" s="45" t="s">
        <v>249</v>
      </c>
      <c r="G220" s="45"/>
      <c r="H220" s="45"/>
      <c r="I220" s="45"/>
      <c r="J220" s="45"/>
      <c r="K220" s="44">
        <f t="shared" si="6"/>
        <v>288</v>
      </c>
      <c r="L220" s="43"/>
      <c r="M220" s="43"/>
      <c r="N220" s="123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</row>
    <row r="221" spans="1:165" s="14" customFormat="1" x14ac:dyDescent="0.35">
      <c r="A221" s="42">
        <v>15</v>
      </c>
      <c r="B221" s="43" t="s">
        <v>224</v>
      </c>
      <c r="C221" s="43" t="s">
        <v>20</v>
      </c>
      <c r="D221" s="43" t="s">
        <v>54</v>
      </c>
      <c r="E221" s="44">
        <v>1000</v>
      </c>
      <c r="F221" s="45" t="s">
        <v>193</v>
      </c>
      <c r="G221" s="45"/>
      <c r="H221" s="45"/>
      <c r="I221" s="45"/>
      <c r="J221" s="45"/>
      <c r="K221" s="44">
        <f t="shared" si="6"/>
        <v>1400</v>
      </c>
      <c r="L221" s="43"/>
      <c r="M221" s="43"/>
      <c r="N221" s="123" t="s">
        <v>234</v>
      </c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</row>
    <row r="222" spans="1:165" s="14" customFormat="1" x14ac:dyDescent="0.35">
      <c r="A222" s="42">
        <v>16</v>
      </c>
      <c r="B222" s="43" t="s">
        <v>225</v>
      </c>
      <c r="C222" s="43" t="s">
        <v>20</v>
      </c>
      <c r="D222" s="43" t="s">
        <v>54</v>
      </c>
      <c r="E222" s="44"/>
      <c r="F222" s="45"/>
      <c r="G222" s="45"/>
      <c r="H222" s="45"/>
      <c r="I222" s="45"/>
      <c r="J222" s="45"/>
      <c r="K222" s="44">
        <f t="shared" si="6"/>
        <v>2400</v>
      </c>
      <c r="L222" s="43"/>
      <c r="M222" s="43"/>
      <c r="N222" s="123" t="s">
        <v>51</v>
      </c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</row>
    <row r="223" spans="1:165" s="14" customFormat="1" x14ac:dyDescent="0.35">
      <c r="A223" s="42">
        <v>17</v>
      </c>
      <c r="B223" s="43" t="s">
        <v>226</v>
      </c>
      <c r="C223" s="43" t="s">
        <v>20</v>
      </c>
      <c r="D223" s="43" t="s">
        <v>54</v>
      </c>
      <c r="E223" s="44">
        <v>2400</v>
      </c>
      <c r="F223" s="45" t="s">
        <v>249</v>
      </c>
      <c r="G223" s="45"/>
      <c r="H223" s="45"/>
      <c r="I223" s="45"/>
      <c r="J223" s="45"/>
      <c r="K223" s="44">
        <f t="shared" si="6"/>
        <v>0</v>
      </c>
      <c r="L223" s="43"/>
      <c r="M223" s="43"/>
      <c r="N223" s="1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</row>
    <row r="224" spans="1:165" s="14" customFormat="1" x14ac:dyDescent="0.35">
      <c r="A224" s="42">
        <v>18</v>
      </c>
      <c r="B224" s="43" t="s">
        <v>227</v>
      </c>
      <c r="C224" s="43" t="s">
        <v>20</v>
      </c>
      <c r="D224" s="43" t="s">
        <v>54</v>
      </c>
      <c r="E224" s="44">
        <v>2112</v>
      </c>
      <c r="F224" s="45" t="s">
        <v>249</v>
      </c>
      <c r="G224" s="45"/>
      <c r="H224" s="45"/>
      <c r="I224" s="45"/>
      <c r="J224" s="45"/>
      <c r="K224" s="44">
        <f t="shared" si="6"/>
        <v>288</v>
      </c>
      <c r="L224" s="43"/>
      <c r="M224" s="43"/>
      <c r="N224" s="123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</row>
    <row r="225" spans="1:165" s="14" customFormat="1" x14ac:dyDescent="0.35">
      <c r="A225" s="42">
        <v>19</v>
      </c>
      <c r="B225" s="43" t="s">
        <v>228</v>
      </c>
      <c r="C225" s="43" t="s">
        <v>20</v>
      </c>
      <c r="D225" s="43" t="s">
        <v>54</v>
      </c>
      <c r="E225" s="44">
        <v>2400</v>
      </c>
      <c r="F225" s="45" t="s">
        <v>249</v>
      </c>
      <c r="G225" s="45"/>
      <c r="H225" s="45"/>
      <c r="I225" s="45"/>
      <c r="J225" s="45"/>
      <c r="K225" s="44">
        <f t="shared" si="6"/>
        <v>0</v>
      </c>
      <c r="L225" s="43"/>
      <c r="M225" s="43"/>
      <c r="N225" s="123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</row>
    <row r="226" spans="1:165" s="14" customFormat="1" x14ac:dyDescent="0.35">
      <c r="A226" s="42">
        <v>20</v>
      </c>
      <c r="B226" s="43" t="s">
        <v>229</v>
      </c>
      <c r="C226" s="43" t="s">
        <v>20</v>
      </c>
      <c r="D226" s="43" t="s">
        <v>54</v>
      </c>
      <c r="E226" s="44"/>
      <c r="F226" s="45"/>
      <c r="G226" s="45"/>
      <c r="H226" s="45"/>
      <c r="I226" s="45"/>
      <c r="J226" s="45"/>
      <c r="K226" s="44">
        <f t="shared" si="6"/>
        <v>2400</v>
      </c>
      <c r="L226" s="43"/>
      <c r="M226" s="43"/>
      <c r="N226" s="123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</row>
    <row r="227" spans="1:165" s="14" customFormat="1" ht="15" thickBot="1" x14ac:dyDescent="0.4">
      <c r="A227" s="30">
        <v>25</v>
      </c>
      <c r="E227" s="46"/>
      <c r="F227" s="7"/>
      <c r="G227" s="7"/>
      <c r="H227" s="7"/>
      <c r="I227" s="7"/>
      <c r="J227" s="7"/>
      <c r="K227" s="46"/>
      <c r="N227" s="119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</row>
    <row r="228" spans="1:165" s="14" customFormat="1" ht="15" thickBot="1" x14ac:dyDescent="0.4">
      <c r="A228" s="30"/>
      <c r="D228" s="17"/>
      <c r="E228" s="84">
        <f>SUM(E207:E227)</f>
        <v>23024</v>
      </c>
      <c r="F228" s="49"/>
      <c r="J228" s="17"/>
      <c r="K228" s="87">
        <f>SUM(K207:K227)</f>
        <v>17576</v>
      </c>
      <c r="L228" s="49"/>
      <c r="N228" s="119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</row>
    <row r="229" spans="1:165" s="14" customFormat="1" ht="15" thickBot="1" x14ac:dyDescent="0.4">
      <c r="A229" s="30"/>
      <c r="E229" s="83"/>
      <c r="K229" s="86"/>
      <c r="N229" s="11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</row>
    <row r="230" spans="1:165" s="14" customFormat="1" ht="15" thickBot="1" x14ac:dyDescent="0.4">
      <c r="A230" s="31"/>
      <c r="B230" s="32" t="s">
        <v>231</v>
      </c>
      <c r="C230" s="32"/>
      <c r="D230" s="32"/>
      <c r="E230" s="33">
        <f>E228+E205+E185+E163+E147+E124+E104+E84+E60+E30</f>
        <v>258944</v>
      </c>
      <c r="F230" s="34"/>
      <c r="G230" s="148">
        <f>SUM(G9:G229)</f>
        <v>26300</v>
      </c>
      <c r="H230" s="149"/>
      <c r="I230" s="150">
        <f>SUM(I9:I229)</f>
        <v>2200</v>
      </c>
      <c r="J230" s="34"/>
      <c r="K230" s="85">
        <f>K228+K205+K185+K163+K147+K124+K104+K84+K60+K30</f>
        <v>152756</v>
      </c>
      <c r="L230" s="34"/>
      <c r="M230" s="34"/>
      <c r="N230" s="147">
        <f>E230+K230+I230+G230</f>
        <v>440200</v>
      </c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</row>
    <row r="231" spans="1:165" s="14" customFormat="1" x14ac:dyDescent="0.3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</row>
    <row r="232" spans="1:165" s="14" customFormat="1" x14ac:dyDescent="0.3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</row>
    <row r="233" spans="1:165" s="14" customFormat="1" x14ac:dyDescent="0.35">
      <c r="A233"/>
      <c r="B233" t="s">
        <v>245</v>
      </c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</row>
    <row r="234" spans="1:165" s="14" customFormat="1" x14ac:dyDescent="0.35">
      <c r="A234"/>
      <c r="B234" t="s">
        <v>246</v>
      </c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</row>
    <row r="235" spans="1:165" s="14" customFormat="1" x14ac:dyDescent="0.3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</row>
    <row r="236" spans="1:165" s="14" customFormat="1" x14ac:dyDescent="0.3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</row>
    <row r="237" spans="1:165" s="14" customFormat="1" x14ac:dyDescent="0.3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</row>
    <row r="238" spans="1:165" s="14" customFormat="1" x14ac:dyDescent="0.3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</row>
    <row r="239" spans="1:165" s="14" customFormat="1" x14ac:dyDescent="0.3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</row>
    <row r="240" spans="1:165" s="14" customFormat="1" x14ac:dyDescent="0.3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</row>
    <row r="241" spans="1:165" s="14" customFormat="1" x14ac:dyDescent="0.3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</row>
    <row r="242" spans="1:165" s="14" customFormat="1" x14ac:dyDescent="0.3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</row>
    <row r="243" spans="1:165" s="14" customFormat="1" x14ac:dyDescent="0.3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</row>
    <row r="244" spans="1:165" s="14" customFormat="1" x14ac:dyDescent="0.3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</row>
    <row r="245" spans="1:165" s="14" customFormat="1" x14ac:dyDescent="0.3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</row>
    <row r="246" spans="1:165" s="14" customFormat="1" x14ac:dyDescent="0.3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</row>
    <row r="247" spans="1:165" s="14" customFormat="1" x14ac:dyDescent="0.3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</row>
    <row r="248" spans="1:165" s="14" customFormat="1" x14ac:dyDescent="0.3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</row>
    <row r="249" spans="1:165" s="14" customFormat="1" x14ac:dyDescent="0.3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</row>
    <row r="250" spans="1:165" s="14" customFormat="1" x14ac:dyDescent="0.3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</row>
    <row r="251" spans="1:165" s="14" customFormat="1" x14ac:dyDescent="0.3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</row>
    <row r="252" spans="1:165" s="14" customFormat="1" x14ac:dyDescent="0.3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</row>
    <row r="253" spans="1:165" s="14" customFormat="1" x14ac:dyDescent="0.3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</row>
    <row r="254" spans="1:165" s="14" customFormat="1" x14ac:dyDescent="0.3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</row>
    <row r="255" spans="1:165" s="14" customFormat="1" x14ac:dyDescent="0.3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</row>
    <row r="256" spans="1:165" s="14" customFormat="1" x14ac:dyDescent="0.3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</row>
    <row r="257" spans="1:165" s="14" customFormat="1" x14ac:dyDescent="0.3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</row>
    <row r="258" spans="1:165" s="14" customFormat="1" x14ac:dyDescent="0.3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</row>
    <row r="259" spans="1:165" s="14" customFormat="1" x14ac:dyDescent="0.3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</row>
    <row r="260" spans="1:165" s="14" customFormat="1" x14ac:dyDescent="0.3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</row>
    <row r="261" spans="1:165" s="14" customFormat="1" x14ac:dyDescent="0.3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</row>
    <row r="262" spans="1:165" s="14" customFormat="1" x14ac:dyDescent="0.3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</row>
    <row r="263" spans="1:165" s="14" customFormat="1" x14ac:dyDescent="0.3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</row>
    <row r="264" spans="1:165" s="14" customFormat="1" x14ac:dyDescent="0.3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</row>
    <row r="265" spans="1:165" s="14" customFormat="1" x14ac:dyDescent="0.3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</row>
    <row r="266" spans="1:165" s="14" customFormat="1" x14ac:dyDescent="0.3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  <c r="FF266"/>
      <c r="FG266"/>
      <c r="FH266"/>
      <c r="FI266"/>
    </row>
    <row r="267" spans="1:165" s="14" customFormat="1" x14ac:dyDescent="0.3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</row>
    <row r="268" spans="1:165" s="14" customFormat="1" x14ac:dyDescent="0.3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  <c r="FF268"/>
      <c r="FG268"/>
      <c r="FH268"/>
      <c r="FI268"/>
    </row>
    <row r="269" spans="1:165" s="14" customFormat="1" x14ac:dyDescent="0.3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</row>
    <row r="270" spans="1:165" s="14" customFormat="1" x14ac:dyDescent="0.3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  <c r="FF270"/>
      <c r="FG270"/>
      <c r="FH270"/>
      <c r="FI270"/>
    </row>
    <row r="271" spans="1:165" s="14" customFormat="1" x14ac:dyDescent="0.3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  <c r="FF271"/>
      <c r="FG271"/>
      <c r="FH271"/>
      <c r="FI271"/>
    </row>
    <row r="272" spans="1:165" s="14" customFormat="1" x14ac:dyDescent="0.3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</row>
    <row r="273" spans="1:165" s="14" customFormat="1" x14ac:dyDescent="0.3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</row>
    <row r="274" spans="1:165" s="14" customFormat="1" x14ac:dyDescent="0.3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</row>
    <row r="275" spans="1:165" s="14" customFormat="1" x14ac:dyDescent="0.3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</row>
    <row r="276" spans="1:165" s="14" customFormat="1" x14ac:dyDescent="0.3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</row>
    <row r="277" spans="1:165" s="14" customFormat="1" x14ac:dyDescent="0.3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</row>
    <row r="278" spans="1:165" s="14" customFormat="1" x14ac:dyDescent="0.3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</row>
    <row r="279" spans="1:165" s="14" customFormat="1" x14ac:dyDescent="0.3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</row>
    <row r="280" spans="1:165" s="14" customFormat="1" x14ac:dyDescent="0.3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</row>
    <row r="281" spans="1:165" s="14" customFormat="1" x14ac:dyDescent="0.3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</row>
    <row r="282" spans="1:165" s="14" customFormat="1" x14ac:dyDescent="0.3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</row>
    <row r="283" spans="1:165" s="14" customFormat="1" x14ac:dyDescent="0.3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</row>
    <row r="284" spans="1:165" s="14" customFormat="1" x14ac:dyDescent="0.3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</row>
    <row r="285" spans="1:165" s="14" customFormat="1" x14ac:dyDescent="0.3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</row>
    <row r="286" spans="1:165" s="14" customFormat="1" x14ac:dyDescent="0.3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</row>
    <row r="287" spans="1:165" s="14" customFormat="1" x14ac:dyDescent="0.3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</row>
    <row r="288" spans="1:165" s="14" customFormat="1" x14ac:dyDescent="0.3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</row>
    <row r="289" spans="1:165" s="14" customFormat="1" x14ac:dyDescent="0.3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</row>
  </sheetData>
  <mergeCells count="15">
    <mergeCell ref="B7:B8"/>
    <mergeCell ref="C7:C8"/>
    <mergeCell ref="D7:D8"/>
    <mergeCell ref="A1:D1"/>
    <mergeCell ref="B2:D2"/>
    <mergeCell ref="B3:D3"/>
    <mergeCell ref="B4:D4"/>
    <mergeCell ref="B5:D5"/>
    <mergeCell ref="N7:N8"/>
    <mergeCell ref="E7:F7"/>
    <mergeCell ref="G7:H7"/>
    <mergeCell ref="I7:J7"/>
    <mergeCell ref="K7:K8"/>
    <mergeCell ref="L7:L8"/>
    <mergeCell ref="M7:M8"/>
  </mergeCells>
  <pageMargins left="0.7" right="0.7" top="0.75" bottom="0.75" header="0.3" footer="0.3"/>
  <pageSetup scale="62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6DADA-6DE8-4082-BFDC-CBC7CFBA554E}">
  <sheetPr>
    <pageSetUpPr fitToPage="1"/>
  </sheetPr>
  <dimension ref="A2:S182"/>
  <sheetViews>
    <sheetView tabSelected="1" topLeftCell="A64" workbookViewId="0">
      <selection activeCell="Q83" sqref="Q83"/>
    </sheetView>
  </sheetViews>
  <sheetFormatPr defaultRowHeight="14.5" x14ac:dyDescent="0.35"/>
  <cols>
    <col min="1" max="1" width="3.7265625" customWidth="1"/>
    <col min="2" max="2" width="31.26953125" customWidth="1"/>
    <col min="3" max="3" width="9.7265625" bestFit="1" customWidth="1"/>
    <col min="4" max="5" width="9.08984375" bestFit="1" customWidth="1"/>
    <col min="6" max="6" width="0.26953125" customWidth="1"/>
    <col min="7" max="7" width="10.08984375" bestFit="1" customWidth="1"/>
    <col min="8" max="9" width="9.08984375" bestFit="1" customWidth="1"/>
    <col min="10" max="10" width="1" customWidth="1"/>
    <col min="11" max="11" width="10.08984375" bestFit="1" customWidth="1"/>
    <col min="12" max="13" width="9.81640625" bestFit="1" customWidth="1"/>
    <col min="14" max="14" width="0.26953125" customWidth="1"/>
    <col min="15" max="15" width="10.08984375" bestFit="1" customWidth="1"/>
    <col min="16" max="17" width="9.08984375" bestFit="1" customWidth="1"/>
  </cols>
  <sheetData>
    <row r="2" spans="1:19" ht="15" thickBot="1" x14ac:dyDescent="0.4"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ht="14.5" customHeight="1" x14ac:dyDescent="0.35">
      <c r="B3" s="378" t="s">
        <v>8</v>
      </c>
      <c r="C3" s="261"/>
      <c r="D3" s="380" t="s">
        <v>427</v>
      </c>
      <c r="E3" s="262"/>
      <c r="F3" s="262"/>
      <c r="G3" s="284"/>
      <c r="H3" s="382" t="s">
        <v>427</v>
      </c>
      <c r="I3" s="285"/>
      <c r="J3" s="285"/>
      <c r="K3" s="322"/>
      <c r="L3" s="376" t="s">
        <v>427</v>
      </c>
      <c r="M3" s="323"/>
      <c r="N3" s="323"/>
      <c r="O3" s="384" t="s">
        <v>291</v>
      </c>
      <c r="P3" s="351"/>
      <c r="Q3" s="351"/>
      <c r="R3" s="384" t="s">
        <v>289</v>
      </c>
      <c r="S3" s="375" t="s">
        <v>292</v>
      </c>
    </row>
    <row r="4" spans="1:19" ht="87" x14ac:dyDescent="0.35">
      <c r="B4" s="379"/>
      <c r="C4" s="263" t="s">
        <v>426</v>
      </c>
      <c r="D4" s="381"/>
      <c r="E4" s="264" t="s">
        <v>432</v>
      </c>
      <c r="F4" s="264" t="s">
        <v>431</v>
      </c>
      <c r="G4" s="286" t="s">
        <v>287</v>
      </c>
      <c r="H4" s="383"/>
      <c r="I4" s="287" t="s">
        <v>428</v>
      </c>
      <c r="J4" s="287" t="s">
        <v>431</v>
      </c>
      <c r="K4" s="324" t="s">
        <v>290</v>
      </c>
      <c r="L4" s="377"/>
      <c r="M4" s="324" t="s">
        <v>429</v>
      </c>
      <c r="N4" s="324" t="s">
        <v>431</v>
      </c>
      <c r="O4" s="384"/>
      <c r="P4" s="351" t="s">
        <v>427</v>
      </c>
      <c r="Q4" s="351" t="s">
        <v>430</v>
      </c>
      <c r="R4" s="384"/>
      <c r="S4" s="375"/>
    </row>
    <row r="5" spans="1:19" x14ac:dyDescent="0.35">
      <c r="A5">
        <v>1</v>
      </c>
      <c r="B5" s="35" t="s">
        <v>324</v>
      </c>
      <c r="C5" s="135">
        <v>250</v>
      </c>
      <c r="D5" s="135">
        <v>250</v>
      </c>
      <c r="E5" s="265">
        <f>C5-D5</f>
        <v>0</v>
      </c>
      <c r="F5" s="266"/>
      <c r="G5" s="288">
        <v>200</v>
      </c>
      <c r="H5" s="288">
        <v>200</v>
      </c>
      <c r="I5" s="289"/>
      <c r="J5" s="289"/>
      <c r="K5" s="325"/>
      <c r="L5" s="326"/>
      <c r="M5" s="326"/>
      <c r="N5" s="326"/>
      <c r="O5" s="218">
        <v>300</v>
      </c>
      <c r="P5" s="218">
        <v>300</v>
      </c>
      <c r="Q5" s="352"/>
      <c r="R5" s="352"/>
      <c r="S5" s="14"/>
    </row>
    <row r="6" spans="1:19" x14ac:dyDescent="0.35">
      <c r="A6">
        <v>2</v>
      </c>
      <c r="B6" s="35" t="s">
        <v>325</v>
      </c>
      <c r="C6" s="135">
        <v>250</v>
      </c>
      <c r="D6" s="135">
        <v>250</v>
      </c>
      <c r="E6" s="265">
        <f>C6-D6</f>
        <v>0</v>
      </c>
      <c r="F6" s="266"/>
      <c r="G6" s="288">
        <v>200</v>
      </c>
      <c r="H6" s="288">
        <v>200</v>
      </c>
      <c r="I6" s="289"/>
      <c r="J6" s="289"/>
      <c r="K6" s="325"/>
      <c r="L6" s="326"/>
      <c r="M6" s="326"/>
      <c r="N6" s="326"/>
      <c r="O6" s="218">
        <v>300</v>
      </c>
      <c r="P6" s="218">
        <v>300</v>
      </c>
      <c r="Q6" s="352"/>
      <c r="R6" s="352"/>
      <c r="S6" s="14"/>
    </row>
    <row r="7" spans="1:19" x14ac:dyDescent="0.35">
      <c r="A7">
        <v>3</v>
      </c>
      <c r="B7" s="35" t="s">
        <v>326</v>
      </c>
      <c r="C7" s="135">
        <v>250</v>
      </c>
      <c r="D7" s="135">
        <v>250</v>
      </c>
      <c r="E7" s="265">
        <f t="shared" ref="E7:E12" si="0">C7-D7</f>
        <v>0</v>
      </c>
      <c r="F7" s="266"/>
      <c r="G7" s="288">
        <v>200</v>
      </c>
      <c r="H7" s="288">
        <v>200</v>
      </c>
      <c r="I7" s="290">
        <v>0</v>
      </c>
      <c r="J7" s="289"/>
      <c r="K7" s="325"/>
      <c r="L7" s="326"/>
      <c r="M7" s="326"/>
      <c r="N7" s="326"/>
      <c r="O7" s="218"/>
      <c r="P7" s="352"/>
      <c r="Q7" s="218"/>
      <c r="R7" s="352"/>
      <c r="S7" s="14"/>
    </row>
    <row r="8" spans="1:19" x14ac:dyDescent="0.35">
      <c r="A8">
        <v>4</v>
      </c>
      <c r="B8" s="35" t="s">
        <v>327</v>
      </c>
      <c r="C8" s="135">
        <v>250</v>
      </c>
      <c r="D8" s="266"/>
      <c r="E8" s="265">
        <f t="shared" si="0"/>
        <v>250</v>
      </c>
      <c r="F8" s="266"/>
      <c r="G8" s="288">
        <v>200</v>
      </c>
      <c r="H8" s="288"/>
      <c r="I8" s="290">
        <v>200</v>
      </c>
      <c r="J8" s="289"/>
      <c r="K8" s="325"/>
      <c r="L8" s="326"/>
      <c r="M8" s="326"/>
      <c r="N8" s="326"/>
      <c r="O8" s="218">
        <v>300</v>
      </c>
      <c r="P8" s="352"/>
      <c r="Q8" s="218">
        <v>300</v>
      </c>
      <c r="R8" s="352"/>
      <c r="S8" s="14"/>
    </row>
    <row r="9" spans="1:19" x14ac:dyDescent="0.35">
      <c r="A9">
        <v>5</v>
      </c>
      <c r="B9" s="35" t="s">
        <v>328</v>
      </c>
      <c r="C9" s="135">
        <v>250</v>
      </c>
      <c r="D9" s="266"/>
      <c r="E9" s="265">
        <f t="shared" si="0"/>
        <v>250</v>
      </c>
      <c r="F9" s="266"/>
      <c r="G9" s="288">
        <v>200</v>
      </c>
      <c r="H9" s="288"/>
      <c r="I9" s="290">
        <v>200</v>
      </c>
      <c r="J9" s="289"/>
      <c r="K9" s="325"/>
      <c r="L9" s="326"/>
      <c r="M9" s="326"/>
      <c r="N9" s="326"/>
      <c r="O9" s="218">
        <v>300</v>
      </c>
      <c r="P9" s="352" t="s">
        <v>427</v>
      </c>
      <c r="Q9" s="218"/>
      <c r="R9" s="352"/>
      <c r="S9" s="14"/>
    </row>
    <row r="10" spans="1:19" x14ac:dyDescent="0.35">
      <c r="A10">
        <v>6</v>
      </c>
      <c r="B10" s="35" t="s">
        <v>329</v>
      </c>
      <c r="C10" s="135">
        <v>250</v>
      </c>
      <c r="D10" s="135">
        <v>250</v>
      </c>
      <c r="E10" s="265">
        <f t="shared" si="0"/>
        <v>0</v>
      </c>
      <c r="F10" s="266"/>
      <c r="G10" s="288">
        <v>200</v>
      </c>
      <c r="H10" s="288">
        <v>200</v>
      </c>
      <c r="I10" s="289"/>
      <c r="J10" s="289"/>
      <c r="K10" s="325"/>
      <c r="L10" s="326"/>
      <c r="M10" s="326"/>
      <c r="N10" s="326"/>
      <c r="O10" s="218">
        <v>300</v>
      </c>
      <c r="P10" s="218">
        <v>300</v>
      </c>
      <c r="Q10" s="352"/>
      <c r="R10" s="352"/>
      <c r="S10" s="14"/>
    </row>
    <row r="11" spans="1:19" x14ac:dyDescent="0.35">
      <c r="A11">
        <v>7</v>
      </c>
      <c r="B11" s="35" t="s">
        <v>330</v>
      </c>
      <c r="C11" s="135">
        <v>250</v>
      </c>
      <c r="D11" s="135">
        <v>250</v>
      </c>
      <c r="E11" s="265">
        <f t="shared" si="0"/>
        <v>0</v>
      </c>
      <c r="F11" s="266"/>
      <c r="G11" s="288">
        <v>200</v>
      </c>
      <c r="H11" s="288">
        <v>200</v>
      </c>
      <c r="I11" s="289"/>
      <c r="J11" s="289"/>
      <c r="K11" s="325"/>
      <c r="L11" s="326"/>
      <c r="M11" s="326"/>
      <c r="N11" s="326"/>
      <c r="O11" s="218">
        <v>300</v>
      </c>
      <c r="P11" s="218">
        <v>300</v>
      </c>
      <c r="Q11" s="352"/>
      <c r="R11" s="352"/>
      <c r="S11" s="14"/>
    </row>
    <row r="12" spans="1:19" x14ac:dyDescent="0.35">
      <c r="A12">
        <v>8</v>
      </c>
      <c r="B12" s="35" t="s">
        <v>418</v>
      </c>
      <c r="C12" s="135">
        <v>250</v>
      </c>
      <c r="D12" s="266"/>
      <c r="E12" s="265">
        <f t="shared" si="0"/>
        <v>250</v>
      </c>
      <c r="F12" s="266"/>
      <c r="G12" s="288">
        <v>200</v>
      </c>
      <c r="H12" s="291"/>
      <c r="I12" s="290">
        <v>200</v>
      </c>
      <c r="J12" s="289"/>
      <c r="K12" s="325"/>
      <c r="L12" s="326"/>
      <c r="M12" s="326"/>
      <c r="N12" s="326"/>
      <c r="O12" s="352"/>
      <c r="P12" s="352"/>
      <c r="Q12" s="352"/>
      <c r="R12" s="352"/>
      <c r="S12" s="14"/>
    </row>
    <row r="13" spans="1:19" s="239" customFormat="1" ht="15" thickBot="1" x14ac:dyDescent="0.4">
      <c r="B13" s="237"/>
      <c r="C13" s="267"/>
      <c r="D13" s="268">
        <f>SUM(D5:D12)</f>
        <v>1250</v>
      </c>
      <c r="E13" s="269">
        <f>SUM(E5:E12)</f>
        <v>750</v>
      </c>
      <c r="F13" s="270"/>
      <c r="G13" s="292"/>
      <c r="H13" s="293">
        <f>SUM(H5:H12)</f>
        <v>1000</v>
      </c>
      <c r="I13" s="294">
        <f>SUM(I5:I12)</f>
        <v>600</v>
      </c>
      <c r="J13" s="295"/>
      <c r="K13" s="327"/>
      <c r="L13" s="328"/>
      <c r="M13" s="328"/>
      <c r="N13" s="328"/>
      <c r="O13" s="352"/>
      <c r="P13" s="353">
        <f>SUM(P5:P12)</f>
        <v>1200</v>
      </c>
      <c r="Q13" s="353">
        <f>SUM(Q5:Q12)</f>
        <v>300</v>
      </c>
      <c r="R13" s="352"/>
      <c r="S13" s="238"/>
    </row>
    <row r="14" spans="1:19" ht="15" thickBot="1" x14ac:dyDescent="0.4">
      <c r="B14" s="109" t="s">
        <v>294</v>
      </c>
      <c r="C14" s="76"/>
      <c r="D14" s="77"/>
      <c r="E14" s="77"/>
      <c r="F14" s="77"/>
      <c r="G14" s="296"/>
      <c r="H14" s="296"/>
      <c r="I14" s="297"/>
      <c r="J14" s="297"/>
      <c r="K14" s="165"/>
      <c r="L14" s="151"/>
      <c r="M14" s="151"/>
      <c r="N14" s="151"/>
      <c r="O14" s="354"/>
      <c r="P14" s="354"/>
      <c r="Q14" s="354"/>
      <c r="R14" s="354"/>
      <c r="S14" s="151"/>
    </row>
    <row r="15" spans="1:19" x14ac:dyDescent="0.35">
      <c r="A15">
        <v>1</v>
      </c>
      <c r="B15" s="105" t="s">
        <v>307</v>
      </c>
      <c r="C15" s="271">
        <v>250</v>
      </c>
      <c r="D15" s="272"/>
      <c r="E15" s="271">
        <v>250</v>
      </c>
      <c r="F15" s="272"/>
      <c r="G15" s="298">
        <v>200</v>
      </c>
      <c r="H15" s="299"/>
      <c r="I15" s="300">
        <v>200</v>
      </c>
      <c r="J15" s="301"/>
      <c r="K15" s="329"/>
      <c r="L15" s="330"/>
      <c r="M15" s="330"/>
      <c r="N15" s="330"/>
      <c r="O15" s="218"/>
      <c r="P15" s="352"/>
      <c r="Q15" s="352"/>
      <c r="R15" s="352"/>
      <c r="S15" s="14"/>
    </row>
    <row r="16" spans="1:19" x14ac:dyDescent="0.35">
      <c r="A16">
        <v>2</v>
      </c>
      <c r="B16" s="35" t="s">
        <v>308</v>
      </c>
      <c r="C16" s="271">
        <v>250</v>
      </c>
      <c r="D16" s="135">
        <v>250</v>
      </c>
      <c r="E16" s="271"/>
      <c r="F16" s="266"/>
      <c r="G16" s="298">
        <v>200</v>
      </c>
      <c r="H16" s="288">
        <v>200</v>
      </c>
      <c r="I16" s="300">
        <v>0</v>
      </c>
      <c r="J16" s="289"/>
      <c r="K16" s="325"/>
      <c r="L16" s="326"/>
      <c r="M16" s="326"/>
      <c r="N16" s="326"/>
      <c r="O16" s="218"/>
      <c r="P16" s="352" t="s">
        <v>427</v>
      </c>
      <c r="Q16" s="352"/>
      <c r="R16" s="352"/>
      <c r="S16" s="14"/>
    </row>
    <row r="17" spans="1:19" x14ac:dyDescent="0.35">
      <c r="A17">
        <v>4</v>
      </c>
      <c r="B17" s="35" t="s">
        <v>309</v>
      </c>
      <c r="C17" s="271">
        <v>250</v>
      </c>
      <c r="D17" s="135">
        <v>250</v>
      </c>
      <c r="E17" s="271"/>
      <c r="F17" s="266"/>
      <c r="G17" s="298">
        <v>200</v>
      </c>
      <c r="H17" s="288">
        <v>200</v>
      </c>
      <c r="I17" s="300"/>
      <c r="J17" s="289"/>
      <c r="K17" s="325"/>
      <c r="L17" s="326"/>
      <c r="M17" s="326"/>
      <c r="N17" s="326"/>
      <c r="O17" s="218">
        <v>300</v>
      </c>
      <c r="P17" s="218">
        <v>300</v>
      </c>
      <c r="Q17" s="218"/>
      <c r="R17" s="352"/>
      <c r="S17" s="14"/>
    </row>
    <row r="18" spans="1:19" x14ac:dyDescent="0.35">
      <c r="A18">
        <v>5</v>
      </c>
      <c r="B18" s="35" t="s">
        <v>310</v>
      </c>
      <c r="C18" s="271">
        <v>250</v>
      </c>
      <c r="D18" s="266"/>
      <c r="E18" s="271">
        <v>250</v>
      </c>
      <c r="F18" s="266"/>
      <c r="G18" s="298">
        <v>200</v>
      </c>
      <c r="H18" s="291"/>
      <c r="I18" s="300">
        <v>200</v>
      </c>
      <c r="J18" s="289"/>
      <c r="K18" s="325"/>
      <c r="L18" s="326"/>
      <c r="M18" s="326"/>
      <c r="N18" s="326"/>
      <c r="O18" s="218"/>
      <c r="P18" s="352"/>
      <c r="Q18" s="352"/>
      <c r="R18" s="352"/>
      <c r="S18" s="14"/>
    </row>
    <row r="19" spans="1:19" x14ac:dyDescent="0.35">
      <c r="A19">
        <v>6</v>
      </c>
      <c r="B19" s="38" t="s">
        <v>311</v>
      </c>
      <c r="C19" s="271">
        <v>250</v>
      </c>
      <c r="D19" s="282">
        <v>250</v>
      </c>
      <c r="E19" s="271">
        <v>0</v>
      </c>
      <c r="F19" s="273"/>
      <c r="G19" s="298">
        <v>200</v>
      </c>
      <c r="H19" s="371">
        <v>200</v>
      </c>
      <c r="I19" s="300">
        <v>0</v>
      </c>
      <c r="J19" s="295"/>
      <c r="K19" s="327"/>
      <c r="L19" s="328"/>
      <c r="M19" s="328"/>
      <c r="N19" s="328"/>
      <c r="O19" s="218">
        <v>300</v>
      </c>
      <c r="P19" s="352"/>
      <c r="Q19" s="218">
        <v>300</v>
      </c>
      <c r="R19" s="352"/>
      <c r="S19" s="14"/>
    </row>
    <row r="20" spans="1:19" x14ac:dyDescent="0.35">
      <c r="A20">
        <v>7</v>
      </c>
      <c r="B20" s="36" t="s">
        <v>312</v>
      </c>
      <c r="C20" s="271">
        <v>250</v>
      </c>
      <c r="D20" s="135">
        <v>250</v>
      </c>
      <c r="E20" s="271">
        <v>0</v>
      </c>
      <c r="F20" s="266"/>
      <c r="G20" s="298">
        <v>200</v>
      </c>
      <c r="H20" s="288">
        <v>200</v>
      </c>
      <c r="I20" s="300">
        <v>0</v>
      </c>
      <c r="J20" s="289"/>
      <c r="K20" s="325"/>
      <c r="L20" s="326"/>
      <c r="M20" s="326"/>
      <c r="N20" s="326"/>
      <c r="O20" s="218"/>
      <c r="P20" s="352"/>
      <c r="Q20" s="352"/>
      <c r="R20" s="352"/>
      <c r="S20" s="14"/>
    </row>
    <row r="21" spans="1:19" x14ac:dyDescent="0.35">
      <c r="A21">
        <v>8</v>
      </c>
      <c r="B21" s="36" t="s">
        <v>315</v>
      </c>
      <c r="C21" s="271">
        <v>250</v>
      </c>
      <c r="D21" s="135">
        <v>250</v>
      </c>
      <c r="E21" s="271"/>
      <c r="F21" s="266"/>
      <c r="G21" s="298">
        <v>200</v>
      </c>
      <c r="H21" s="288">
        <v>200</v>
      </c>
      <c r="I21" s="300">
        <v>0</v>
      </c>
      <c r="J21" s="289"/>
      <c r="K21" s="325"/>
      <c r="L21" s="326"/>
      <c r="M21" s="326"/>
      <c r="N21" s="326"/>
      <c r="O21" s="218">
        <v>300</v>
      </c>
      <c r="P21" s="218">
        <v>300</v>
      </c>
      <c r="Q21" s="352">
        <f>-Q2581</f>
        <v>0</v>
      </c>
      <c r="R21" s="352"/>
      <c r="S21" s="14"/>
    </row>
    <row r="22" spans="1:19" x14ac:dyDescent="0.35">
      <c r="A22">
        <v>9</v>
      </c>
      <c r="B22" s="41" t="s">
        <v>316</v>
      </c>
      <c r="C22" s="271">
        <v>250</v>
      </c>
      <c r="D22" s="255"/>
      <c r="E22" s="271">
        <v>250</v>
      </c>
      <c r="F22" s="255"/>
      <c r="G22" s="298">
        <v>200</v>
      </c>
      <c r="H22" s="302"/>
      <c r="I22" s="300">
        <v>200</v>
      </c>
      <c r="J22" s="303"/>
      <c r="K22" s="331"/>
      <c r="L22" s="332"/>
      <c r="M22" s="332"/>
      <c r="N22" s="332"/>
      <c r="O22" s="218">
        <v>300</v>
      </c>
      <c r="P22" s="352"/>
      <c r="Q22" s="218">
        <v>300</v>
      </c>
      <c r="R22" s="352"/>
      <c r="S22" s="14"/>
    </row>
    <row r="23" spans="1:19" x14ac:dyDescent="0.35">
      <c r="A23">
        <v>10</v>
      </c>
      <c r="B23" s="41" t="s">
        <v>317</v>
      </c>
      <c r="C23" s="271">
        <v>250</v>
      </c>
      <c r="D23" s="255"/>
      <c r="E23" s="271">
        <v>250</v>
      </c>
      <c r="F23" s="255"/>
      <c r="G23" s="298">
        <v>200</v>
      </c>
      <c r="H23" s="302"/>
      <c r="I23" s="300">
        <v>200</v>
      </c>
      <c r="J23" s="303"/>
      <c r="K23" s="331"/>
      <c r="L23" s="332"/>
      <c r="M23" s="332"/>
      <c r="N23" s="332"/>
      <c r="O23" s="218">
        <v>300</v>
      </c>
      <c r="P23" s="352"/>
      <c r="Q23" s="218">
        <v>300</v>
      </c>
      <c r="R23" s="352"/>
      <c r="S23" s="14"/>
    </row>
    <row r="24" spans="1:19" x14ac:dyDescent="0.35">
      <c r="A24">
        <v>11</v>
      </c>
      <c r="B24" s="41" t="s">
        <v>318</v>
      </c>
      <c r="C24" s="271">
        <v>250</v>
      </c>
      <c r="D24" s="255"/>
      <c r="E24" s="271">
        <v>250</v>
      </c>
      <c r="F24" s="255"/>
      <c r="G24" s="298">
        <v>200</v>
      </c>
      <c r="H24" s="302"/>
      <c r="I24" s="300">
        <v>200</v>
      </c>
      <c r="J24" s="303"/>
      <c r="K24" s="331"/>
      <c r="L24" s="332"/>
      <c r="M24" s="332"/>
      <c r="N24" s="332"/>
      <c r="O24" s="218"/>
      <c r="P24" s="352"/>
      <c r="Q24" s="352"/>
      <c r="R24" s="352"/>
      <c r="S24" s="14"/>
    </row>
    <row r="25" spans="1:19" x14ac:dyDescent="0.35">
      <c r="A25">
        <v>12</v>
      </c>
      <c r="B25" s="41" t="s">
        <v>313</v>
      </c>
      <c r="C25" s="271">
        <v>250</v>
      </c>
      <c r="D25" s="217">
        <v>250</v>
      </c>
      <c r="E25" s="271"/>
      <c r="F25" s="255"/>
      <c r="G25" s="298">
        <v>200</v>
      </c>
      <c r="H25" s="302"/>
      <c r="I25" s="300">
        <v>200</v>
      </c>
      <c r="J25" s="303"/>
      <c r="K25" s="331"/>
      <c r="L25" s="332"/>
      <c r="M25" s="332"/>
      <c r="N25" s="332"/>
      <c r="O25" s="218"/>
      <c r="P25" s="352"/>
      <c r="Q25" s="352"/>
      <c r="R25" s="352"/>
      <c r="S25" s="14"/>
    </row>
    <row r="26" spans="1:19" x14ac:dyDescent="0.35">
      <c r="A26">
        <v>13</v>
      </c>
      <c r="B26" s="41" t="s">
        <v>314</v>
      </c>
      <c r="C26" s="271">
        <v>250</v>
      </c>
      <c r="D26" s="217">
        <v>250</v>
      </c>
      <c r="E26" s="271">
        <v>0</v>
      </c>
      <c r="F26" s="255"/>
      <c r="G26" s="298">
        <v>200</v>
      </c>
      <c r="H26" s="304">
        <v>200</v>
      </c>
      <c r="I26" s="300">
        <v>0</v>
      </c>
      <c r="J26" s="303"/>
      <c r="K26" s="331"/>
      <c r="L26" s="332"/>
      <c r="M26" s="332"/>
      <c r="N26" s="332"/>
      <c r="O26" s="218">
        <v>300</v>
      </c>
      <c r="P26" s="218">
        <v>300</v>
      </c>
      <c r="Q26" s="218">
        <v>0</v>
      </c>
      <c r="R26" s="352"/>
      <c r="S26" s="14"/>
    </row>
    <row r="27" spans="1:19" x14ac:dyDescent="0.35">
      <c r="A27">
        <v>14</v>
      </c>
      <c r="B27" s="41" t="s">
        <v>331</v>
      </c>
      <c r="C27" s="271">
        <v>250</v>
      </c>
      <c r="D27" s="217">
        <v>250</v>
      </c>
      <c r="E27" s="271"/>
      <c r="F27" s="255"/>
      <c r="G27" s="298">
        <v>200</v>
      </c>
      <c r="H27" s="304">
        <v>200</v>
      </c>
      <c r="I27" s="300">
        <v>0</v>
      </c>
      <c r="J27" s="303"/>
      <c r="K27" s="331"/>
      <c r="L27" s="332"/>
      <c r="M27" s="332"/>
      <c r="N27" s="332"/>
      <c r="O27" s="218">
        <v>300</v>
      </c>
      <c r="P27" s="352"/>
      <c r="Q27" s="218">
        <v>300</v>
      </c>
      <c r="R27" s="352"/>
      <c r="S27" s="14"/>
    </row>
    <row r="28" spans="1:19" x14ac:dyDescent="0.35">
      <c r="A28">
        <v>15</v>
      </c>
      <c r="B28" s="41" t="s">
        <v>438</v>
      </c>
      <c r="C28" s="271">
        <v>250</v>
      </c>
      <c r="D28" s="217"/>
      <c r="E28" s="271">
        <v>250</v>
      </c>
      <c r="F28" s="255"/>
      <c r="G28" s="298">
        <v>200</v>
      </c>
      <c r="H28" s="304"/>
      <c r="I28" s="300">
        <v>200</v>
      </c>
      <c r="J28" s="303"/>
      <c r="K28" s="331"/>
      <c r="L28" s="332"/>
      <c r="M28" s="332"/>
      <c r="N28" s="332"/>
      <c r="O28" s="218"/>
      <c r="P28" s="352"/>
      <c r="Q28" s="218"/>
      <c r="R28" s="352"/>
      <c r="S28" s="14"/>
    </row>
    <row r="29" spans="1:19" x14ac:dyDescent="0.35">
      <c r="A29">
        <v>16</v>
      </c>
      <c r="B29" s="41" t="s">
        <v>449</v>
      </c>
      <c r="C29" s="271">
        <v>250</v>
      </c>
      <c r="D29" s="217">
        <v>250</v>
      </c>
      <c r="E29" s="271"/>
      <c r="F29" s="255"/>
      <c r="G29" s="298">
        <v>200</v>
      </c>
      <c r="H29" s="304">
        <v>200</v>
      </c>
      <c r="I29" s="300"/>
      <c r="J29" s="303"/>
      <c r="K29" s="331"/>
      <c r="L29" s="332"/>
      <c r="M29" s="332"/>
      <c r="N29" s="332"/>
      <c r="O29" s="218"/>
      <c r="P29" s="352"/>
      <c r="Q29" s="218"/>
      <c r="R29" s="352"/>
      <c r="S29" s="14"/>
    </row>
    <row r="30" spans="1:19" x14ac:dyDescent="0.35">
      <c r="A30">
        <v>17</v>
      </c>
      <c r="B30" s="41" t="s">
        <v>448</v>
      </c>
      <c r="C30" s="271">
        <v>250</v>
      </c>
      <c r="D30" s="217"/>
      <c r="E30" s="271">
        <v>250</v>
      </c>
      <c r="F30" s="255"/>
      <c r="G30" s="298">
        <v>200</v>
      </c>
      <c r="H30" s="304"/>
      <c r="I30" s="300">
        <v>200</v>
      </c>
      <c r="J30" s="303"/>
      <c r="K30" s="331"/>
      <c r="L30" s="332"/>
      <c r="M30" s="332"/>
      <c r="N30" s="332"/>
      <c r="O30" s="218"/>
      <c r="P30" s="352" t="s">
        <v>427</v>
      </c>
      <c r="Q30" s="218"/>
      <c r="R30" s="352"/>
      <c r="S30" s="14"/>
    </row>
    <row r="31" spans="1:19" x14ac:dyDescent="0.35">
      <c r="A31">
        <v>18</v>
      </c>
      <c r="B31" s="41" t="s">
        <v>332</v>
      </c>
      <c r="C31" s="271">
        <v>250</v>
      </c>
      <c r="D31" s="217">
        <v>250</v>
      </c>
      <c r="E31" s="271">
        <v>0</v>
      </c>
      <c r="F31" s="255"/>
      <c r="G31" s="298">
        <v>200</v>
      </c>
      <c r="H31" s="302">
        <v>90</v>
      </c>
      <c r="I31" s="300">
        <v>110</v>
      </c>
      <c r="J31" s="303"/>
      <c r="K31" s="331"/>
      <c r="L31" s="332"/>
      <c r="M31" s="332"/>
      <c r="N31" s="332"/>
      <c r="O31" s="218">
        <v>300</v>
      </c>
      <c r="P31" s="218">
        <v>300</v>
      </c>
      <c r="Q31" s="218"/>
      <c r="R31" s="352"/>
      <c r="S31" s="14"/>
    </row>
    <row r="32" spans="1:19" x14ac:dyDescent="0.35">
      <c r="A32">
        <v>19</v>
      </c>
      <c r="B32" s="41" t="s">
        <v>333</v>
      </c>
      <c r="C32" s="271">
        <v>250</v>
      </c>
      <c r="D32" s="217">
        <v>250</v>
      </c>
      <c r="E32" s="271"/>
      <c r="F32" s="255"/>
      <c r="G32" s="298">
        <v>200</v>
      </c>
      <c r="H32" s="304">
        <v>200</v>
      </c>
      <c r="I32" s="300">
        <v>0</v>
      </c>
      <c r="J32" s="303"/>
      <c r="K32" s="331"/>
      <c r="L32" s="332"/>
      <c r="M32" s="332"/>
      <c r="N32" s="332"/>
      <c r="O32" s="218"/>
      <c r="P32" s="352"/>
      <c r="Q32" s="218"/>
      <c r="R32" s="352"/>
      <c r="S32" s="14"/>
    </row>
    <row r="33" spans="1:19" x14ac:dyDescent="0.35">
      <c r="A33">
        <v>20</v>
      </c>
      <c r="B33" s="41" t="s">
        <v>334</v>
      </c>
      <c r="C33" s="271">
        <v>250</v>
      </c>
      <c r="D33" s="255"/>
      <c r="E33" s="271">
        <v>250</v>
      </c>
      <c r="F33" s="255"/>
      <c r="G33" s="298">
        <v>200</v>
      </c>
      <c r="H33" s="302"/>
      <c r="I33" s="300">
        <v>200</v>
      </c>
      <c r="J33" s="303"/>
      <c r="K33" s="331"/>
      <c r="L33" s="332"/>
      <c r="M33" s="332"/>
      <c r="N33" s="332"/>
      <c r="O33" s="218">
        <v>300</v>
      </c>
      <c r="P33" s="352"/>
      <c r="Q33" s="218">
        <v>300</v>
      </c>
      <c r="R33" s="352"/>
      <c r="S33" s="14"/>
    </row>
    <row r="34" spans="1:19" x14ac:dyDescent="0.35">
      <c r="A34">
        <v>21</v>
      </c>
      <c r="B34" s="41" t="s">
        <v>335</v>
      </c>
      <c r="C34" s="271">
        <v>250</v>
      </c>
      <c r="D34" s="255"/>
      <c r="E34" s="271">
        <v>250</v>
      </c>
      <c r="F34" s="255"/>
      <c r="G34" s="298">
        <v>200</v>
      </c>
      <c r="H34" s="302"/>
      <c r="I34" s="300">
        <v>200</v>
      </c>
      <c r="J34" s="303"/>
      <c r="K34" s="331"/>
      <c r="L34" s="332"/>
      <c r="M34" s="332"/>
      <c r="N34" s="332"/>
      <c r="O34" s="218">
        <v>300</v>
      </c>
      <c r="P34" s="352"/>
      <c r="Q34" s="218">
        <v>300</v>
      </c>
      <c r="R34" s="352"/>
      <c r="S34" s="14"/>
    </row>
    <row r="35" spans="1:19" s="239" customFormat="1" ht="15" thickBot="1" x14ac:dyDescent="0.4">
      <c r="B35" s="238"/>
      <c r="C35" s="274"/>
      <c r="D35" s="275">
        <f>SUM(D15:D34)</f>
        <v>2750</v>
      </c>
      <c r="E35" s="276">
        <f>SUM(E15:E34)</f>
        <v>2250</v>
      </c>
      <c r="F35" s="255"/>
      <c r="G35" s="305"/>
      <c r="H35" s="305">
        <f>SUM(H15:H34)</f>
        <v>1890</v>
      </c>
      <c r="I35" s="306">
        <f>SUM(I15:I34)</f>
        <v>2110</v>
      </c>
      <c r="J35" s="303"/>
      <c r="K35" s="331"/>
      <c r="L35" s="332"/>
      <c r="M35" s="332"/>
      <c r="N35" s="332"/>
      <c r="O35" s="352"/>
      <c r="P35" s="353">
        <f>SUM(P20:P34)</f>
        <v>900</v>
      </c>
      <c r="Q35" s="353">
        <f>SUM(Q15:Q34)</f>
        <v>1800</v>
      </c>
      <c r="R35" s="352"/>
      <c r="S35" s="238"/>
    </row>
    <row r="36" spans="1:19" ht="15" thickBot="1" x14ac:dyDescent="0.4">
      <c r="B36" s="98" t="s">
        <v>25</v>
      </c>
      <c r="C36" s="277"/>
      <c r="D36" s="74"/>
      <c r="E36" s="74"/>
      <c r="F36" s="74"/>
      <c r="G36" s="307"/>
      <c r="H36" s="307"/>
      <c r="I36" s="308"/>
      <c r="J36" s="308"/>
      <c r="K36" s="333"/>
      <c r="L36" s="334"/>
      <c r="M36" s="334"/>
      <c r="N36" s="334"/>
      <c r="O36" s="355"/>
      <c r="P36" s="355"/>
      <c r="Q36" s="355"/>
      <c r="R36" s="355"/>
      <c r="S36" s="152"/>
    </row>
    <row r="37" spans="1:19" x14ac:dyDescent="0.35">
      <c r="A37">
        <v>1</v>
      </c>
      <c r="B37" s="58" t="s">
        <v>410</v>
      </c>
      <c r="C37" s="271">
        <v>250</v>
      </c>
      <c r="D37" s="278"/>
      <c r="E37" s="279">
        <v>250</v>
      </c>
      <c r="F37" s="278"/>
      <c r="G37" s="309">
        <v>200</v>
      </c>
      <c r="H37" s="310"/>
      <c r="I37" s="311">
        <v>200</v>
      </c>
      <c r="J37" s="312"/>
      <c r="K37" s="335"/>
      <c r="L37" s="336"/>
      <c r="M37" s="336"/>
      <c r="N37" s="336"/>
      <c r="O37" s="218"/>
      <c r="P37" s="218"/>
      <c r="Q37" s="218"/>
      <c r="R37" s="352"/>
      <c r="S37" s="14"/>
    </row>
    <row r="38" spans="1:19" x14ac:dyDescent="0.35">
      <c r="A38">
        <v>2</v>
      </c>
      <c r="B38" s="43" t="s">
        <v>138</v>
      </c>
      <c r="C38" s="271">
        <v>250</v>
      </c>
      <c r="D38" s="217">
        <v>250</v>
      </c>
      <c r="E38" s="279">
        <v>0</v>
      </c>
      <c r="F38" s="255"/>
      <c r="G38" s="309">
        <v>200</v>
      </c>
      <c r="H38" s="304">
        <v>200</v>
      </c>
      <c r="I38" s="311">
        <v>0</v>
      </c>
      <c r="J38" s="303"/>
      <c r="K38" s="331"/>
      <c r="L38" s="332"/>
      <c r="M38" s="332"/>
      <c r="N38" s="332"/>
      <c r="O38" s="218">
        <v>300</v>
      </c>
      <c r="P38" s="218">
        <v>300</v>
      </c>
      <c r="Q38" s="218">
        <v>0</v>
      </c>
      <c r="R38" s="352"/>
      <c r="S38" s="14"/>
    </row>
    <row r="39" spans="1:19" x14ac:dyDescent="0.35">
      <c r="A39">
        <v>3</v>
      </c>
      <c r="B39" s="43" t="s">
        <v>411</v>
      </c>
      <c r="C39" s="271">
        <v>250</v>
      </c>
      <c r="D39" s="255"/>
      <c r="E39" s="279">
        <v>250</v>
      </c>
      <c r="F39" s="255"/>
      <c r="G39" s="309">
        <v>200</v>
      </c>
      <c r="H39" s="302"/>
      <c r="I39" s="311">
        <v>200</v>
      </c>
      <c r="J39" s="303"/>
      <c r="K39" s="331"/>
      <c r="L39" s="332"/>
      <c r="M39" s="332"/>
      <c r="N39" s="332"/>
      <c r="O39" s="218"/>
      <c r="P39" s="352"/>
      <c r="Q39" s="218"/>
      <c r="R39" s="352"/>
      <c r="S39" s="14"/>
    </row>
    <row r="40" spans="1:19" x14ac:dyDescent="0.35">
      <c r="A40">
        <v>4</v>
      </c>
      <c r="B40" s="43" t="s">
        <v>322</v>
      </c>
      <c r="C40" s="271">
        <v>250</v>
      </c>
      <c r="D40" s="255"/>
      <c r="E40" s="279">
        <v>250</v>
      </c>
      <c r="F40" s="255"/>
      <c r="G40" s="309">
        <v>200</v>
      </c>
      <c r="H40" s="302"/>
      <c r="I40" s="311">
        <v>200</v>
      </c>
      <c r="J40" s="303"/>
      <c r="K40" s="331"/>
      <c r="L40" s="332"/>
      <c r="M40" s="332"/>
      <c r="N40" s="332"/>
      <c r="O40" s="218">
        <v>300</v>
      </c>
      <c r="P40" s="352"/>
      <c r="Q40" s="218">
        <v>300</v>
      </c>
      <c r="R40" s="352"/>
      <c r="S40" s="14"/>
    </row>
    <row r="41" spans="1:19" x14ac:dyDescent="0.35">
      <c r="A41">
        <v>5</v>
      </c>
      <c r="B41" s="43" t="s">
        <v>397</v>
      </c>
      <c r="C41" s="271">
        <v>250</v>
      </c>
      <c r="D41" s="217">
        <v>250</v>
      </c>
      <c r="E41" s="279">
        <v>0</v>
      </c>
      <c r="F41" s="255"/>
      <c r="G41" s="309">
        <v>200</v>
      </c>
      <c r="H41" s="304">
        <v>200</v>
      </c>
      <c r="I41" s="311">
        <v>0</v>
      </c>
      <c r="J41" s="303"/>
      <c r="K41" s="331"/>
      <c r="L41" s="332"/>
      <c r="M41" s="332"/>
      <c r="N41" s="332"/>
      <c r="O41" s="218">
        <v>300</v>
      </c>
      <c r="P41" s="352"/>
      <c r="Q41" s="218">
        <v>300</v>
      </c>
      <c r="R41" s="352"/>
      <c r="S41" s="14"/>
    </row>
    <row r="42" spans="1:19" x14ac:dyDescent="0.35">
      <c r="A42">
        <v>6</v>
      </c>
      <c r="B42" s="43" t="s">
        <v>398</v>
      </c>
      <c r="C42" s="271">
        <v>250</v>
      </c>
      <c r="D42" s="255"/>
      <c r="E42" s="279">
        <v>250</v>
      </c>
      <c r="F42" s="255"/>
      <c r="G42" s="309">
        <v>200</v>
      </c>
      <c r="H42" s="302"/>
      <c r="I42" s="311">
        <v>200</v>
      </c>
      <c r="J42" s="303"/>
      <c r="K42" s="331"/>
      <c r="L42" s="332"/>
      <c r="M42" s="332"/>
      <c r="N42" s="332"/>
      <c r="O42" s="218">
        <v>300</v>
      </c>
      <c r="P42" s="352"/>
      <c r="Q42" s="218">
        <v>300</v>
      </c>
      <c r="R42" s="352"/>
      <c r="S42" s="14"/>
    </row>
    <row r="43" spans="1:19" x14ac:dyDescent="0.35">
      <c r="A43">
        <v>7</v>
      </c>
      <c r="B43" s="43" t="s">
        <v>399</v>
      </c>
      <c r="C43" s="271">
        <v>250</v>
      </c>
      <c r="D43" s="217">
        <v>250</v>
      </c>
      <c r="E43" s="279">
        <v>0</v>
      </c>
      <c r="F43" s="255"/>
      <c r="G43" s="309">
        <v>200</v>
      </c>
      <c r="H43" s="304">
        <v>200</v>
      </c>
      <c r="I43" s="311">
        <v>0</v>
      </c>
      <c r="J43" s="303"/>
      <c r="K43" s="331"/>
      <c r="L43" s="332"/>
      <c r="M43" s="332"/>
      <c r="N43" s="332"/>
      <c r="O43" s="218">
        <v>300</v>
      </c>
      <c r="P43" s="218">
        <v>300</v>
      </c>
      <c r="Q43" s="218">
        <v>0</v>
      </c>
      <c r="R43" s="352"/>
      <c r="S43" s="14"/>
    </row>
    <row r="44" spans="1:19" x14ac:dyDescent="0.35">
      <c r="A44">
        <v>8</v>
      </c>
      <c r="B44" s="43" t="s">
        <v>417</v>
      </c>
      <c r="C44" s="271">
        <v>250</v>
      </c>
      <c r="D44" s="255"/>
      <c r="E44" s="279">
        <v>250</v>
      </c>
      <c r="F44" s="255"/>
      <c r="G44" s="309">
        <v>200</v>
      </c>
      <c r="H44" s="302"/>
      <c r="I44" s="311">
        <v>200</v>
      </c>
      <c r="J44" s="303"/>
      <c r="K44" s="331"/>
      <c r="L44" s="332"/>
      <c r="M44" s="332"/>
      <c r="N44" s="332"/>
      <c r="O44" s="218">
        <v>300</v>
      </c>
      <c r="P44" s="352"/>
      <c r="Q44" s="218">
        <v>300</v>
      </c>
      <c r="R44" s="352"/>
      <c r="S44" s="14"/>
    </row>
    <row r="45" spans="1:19" x14ac:dyDescent="0.35">
      <c r="A45">
        <v>9</v>
      </c>
      <c r="B45" s="43" t="s">
        <v>402</v>
      </c>
      <c r="C45" s="271">
        <v>250</v>
      </c>
      <c r="D45" s="217">
        <v>250</v>
      </c>
      <c r="E45" s="279"/>
      <c r="F45" s="255"/>
      <c r="G45" s="309">
        <v>200</v>
      </c>
      <c r="H45" s="304">
        <v>200</v>
      </c>
      <c r="I45" s="311"/>
      <c r="J45" s="303"/>
      <c r="K45" s="331"/>
      <c r="L45" s="332"/>
      <c r="M45" s="332"/>
      <c r="N45" s="332"/>
      <c r="O45" s="218"/>
      <c r="P45" s="352" t="s">
        <v>367</v>
      </c>
      <c r="Q45" s="218"/>
      <c r="R45" s="352"/>
      <c r="S45" s="14"/>
    </row>
    <row r="46" spans="1:19" x14ac:dyDescent="0.35">
      <c r="A46">
        <v>10</v>
      </c>
      <c r="B46" s="43" t="s">
        <v>404</v>
      </c>
      <c r="C46" s="271">
        <v>250</v>
      </c>
      <c r="D46" s="217">
        <v>250</v>
      </c>
      <c r="E46" s="279">
        <v>0</v>
      </c>
      <c r="F46" s="255"/>
      <c r="G46" s="309">
        <v>200</v>
      </c>
      <c r="H46" s="304">
        <v>200</v>
      </c>
      <c r="I46" s="311">
        <v>0</v>
      </c>
      <c r="J46" s="303"/>
      <c r="K46" s="331"/>
      <c r="L46" s="332"/>
      <c r="M46" s="332"/>
      <c r="N46" s="332"/>
      <c r="O46" s="218">
        <v>300</v>
      </c>
      <c r="P46" s="352"/>
      <c r="Q46" s="218">
        <v>300</v>
      </c>
      <c r="R46" s="352"/>
      <c r="S46" s="14"/>
    </row>
    <row r="47" spans="1:19" x14ac:dyDescent="0.35">
      <c r="A47">
        <v>11</v>
      </c>
      <c r="B47" s="43" t="s">
        <v>412</v>
      </c>
      <c r="C47" s="271">
        <v>250</v>
      </c>
      <c r="D47" s="217">
        <v>250</v>
      </c>
      <c r="E47" s="279">
        <v>0</v>
      </c>
      <c r="F47" s="255"/>
      <c r="G47" s="309">
        <v>200</v>
      </c>
      <c r="H47" s="304">
        <v>200</v>
      </c>
      <c r="I47" s="311">
        <v>0</v>
      </c>
      <c r="J47" s="303"/>
      <c r="K47" s="331"/>
      <c r="L47" s="332"/>
      <c r="M47" s="332"/>
      <c r="N47" s="332"/>
      <c r="O47" s="218"/>
      <c r="P47" s="352" t="s">
        <v>367</v>
      </c>
      <c r="Q47" s="218"/>
      <c r="R47" s="352"/>
      <c r="S47" s="14"/>
    </row>
    <row r="48" spans="1:19" x14ac:dyDescent="0.35">
      <c r="A48">
        <v>12</v>
      </c>
      <c r="B48" s="43" t="s">
        <v>413</v>
      </c>
      <c r="C48" s="271">
        <v>250</v>
      </c>
      <c r="D48" s="217">
        <v>250</v>
      </c>
      <c r="E48" s="279">
        <v>0</v>
      </c>
      <c r="F48" s="255"/>
      <c r="G48" s="309">
        <v>200</v>
      </c>
      <c r="H48" s="304">
        <v>200</v>
      </c>
      <c r="I48" s="311">
        <v>0</v>
      </c>
      <c r="J48" s="303"/>
      <c r="K48" s="331"/>
      <c r="L48" s="332"/>
      <c r="M48" s="332"/>
      <c r="N48" s="332"/>
      <c r="O48" s="218"/>
      <c r="P48" s="352"/>
      <c r="Q48" s="218"/>
      <c r="R48" s="352"/>
      <c r="S48" s="14"/>
    </row>
    <row r="49" spans="1:19" x14ac:dyDescent="0.35">
      <c r="A49">
        <v>13</v>
      </c>
      <c r="B49" s="43" t="s">
        <v>403</v>
      </c>
      <c r="C49" s="271">
        <v>250</v>
      </c>
      <c r="D49" s="217">
        <v>250</v>
      </c>
      <c r="E49" s="279">
        <v>0</v>
      </c>
      <c r="F49" s="255"/>
      <c r="G49" s="309">
        <v>200</v>
      </c>
      <c r="H49" s="304">
        <v>200</v>
      </c>
      <c r="I49" s="311">
        <v>0</v>
      </c>
      <c r="J49" s="303"/>
      <c r="K49" s="331"/>
      <c r="L49" s="332"/>
      <c r="M49" s="332"/>
      <c r="N49" s="332"/>
      <c r="O49" s="218">
        <v>300</v>
      </c>
      <c r="P49" s="352"/>
      <c r="Q49" s="218">
        <v>300</v>
      </c>
      <c r="R49" s="352"/>
      <c r="S49" s="14"/>
    </row>
    <row r="50" spans="1:19" x14ac:dyDescent="0.35">
      <c r="A50">
        <v>14</v>
      </c>
      <c r="B50" s="43" t="s">
        <v>409</v>
      </c>
      <c r="C50" s="271">
        <v>250</v>
      </c>
      <c r="D50" s="217">
        <v>250</v>
      </c>
      <c r="E50" s="279">
        <v>0</v>
      </c>
      <c r="F50" s="255"/>
      <c r="G50" s="309">
        <v>200</v>
      </c>
      <c r="H50" s="304">
        <v>200</v>
      </c>
      <c r="I50" s="311">
        <v>0</v>
      </c>
      <c r="J50" s="303"/>
      <c r="K50" s="331"/>
      <c r="L50" s="332"/>
      <c r="M50" s="332"/>
      <c r="N50" s="332"/>
      <c r="O50" s="218">
        <v>300</v>
      </c>
      <c r="P50" s="352"/>
      <c r="Q50" s="218">
        <v>300</v>
      </c>
      <c r="R50" s="352"/>
      <c r="S50" s="14"/>
    </row>
    <row r="51" spans="1:19" x14ac:dyDescent="0.35">
      <c r="A51">
        <v>15</v>
      </c>
      <c r="B51" s="43" t="s">
        <v>408</v>
      </c>
      <c r="C51" s="271">
        <v>250</v>
      </c>
      <c r="D51" s="217"/>
      <c r="E51" s="279">
        <v>250</v>
      </c>
      <c r="F51" s="255"/>
      <c r="G51" s="309">
        <v>200</v>
      </c>
      <c r="H51" s="304">
        <v>0</v>
      </c>
      <c r="I51" s="311">
        <v>200</v>
      </c>
      <c r="J51" s="303"/>
      <c r="K51" s="331"/>
      <c r="L51" s="332"/>
      <c r="M51" s="332"/>
      <c r="N51" s="332"/>
      <c r="O51" s="218">
        <v>300</v>
      </c>
      <c r="P51" s="352"/>
      <c r="Q51" s="218">
        <v>300</v>
      </c>
      <c r="R51" s="352"/>
      <c r="S51" s="14"/>
    </row>
    <row r="52" spans="1:19" x14ac:dyDescent="0.35">
      <c r="A52">
        <v>16</v>
      </c>
      <c r="B52" s="43" t="s">
        <v>296</v>
      </c>
      <c r="C52" s="271">
        <v>250</v>
      </c>
      <c r="D52" s="217">
        <v>250</v>
      </c>
      <c r="E52" s="279">
        <v>0</v>
      </c>
      <c r="F52" s="255"/>
      <c r="G52" s="309">
        <v>200</v>
      </c>
      <c r="H52" s="304">
        <v>200</v>
      </c>
      <c r="I52" s="311">
        <v>0</v>
      </c>
      <c r="J52" s="303"/>
      <c r="K52" s="331"/>
      <c r="L52" s="332"/>
      <c r="M52" s="332"/>
      <c r="N52" s="332"/>
      <c r="O52" s="218">
        <v>300</v>
      </c>
      <c r="P52" s="218">
        <v>300</v>
      </c>
      <c r="Q52" s="218">
        <v>0</v>
      </c>
      <c r="R52" s="352"/>
      <c r="S52" s="14"/>
    </row>
    <row r="53" spans="1:19" x14ac:dyDescent="0.35">
      <c r="A53">
        <v>17</v>
      </c>
      <c r="B53" s="43" t="s">
        <v>319</v>
      </c>
      <c r="C53" s="271">
        <v>250</v>
      </c>
      <c r="D53" s="217">
        <v>250</v>
      </c>
      <c r="E53" s="279">
        <v>0</v>
      </c>
      <c r="F53" s="255"/>
      <c r="G53" s="309">
        <v>200</v>
      </c>
      <c r="H53" s="304">
        <v>200</v>
      </c>
      <c r="I53" s="311">
        <v>0</v>
      </c>
      <c r="J53" s="303"/>
      <c r="K53" s="331"/>
      <c r="L53" s="332"/>
      <c r="M53" s="332"/>
      <c r="N53" s="332"/>
      <c r="O53" s="218"/>
      <c r="P53" s="352" t="s">
        <v>367</v>
      </c>
      <c r="Q53" s="218"/>
      <c r="R53" s="352"/>
      <c r="S53" s="14"/>
    </row>
    <row r="54" spans="1:19" x14ac:dyDescent="0.35">
      <c r="A54">
        <v>18</v>
      </c>
      <c r="B54" s="43" t="s">
        <v>400</v>
      </c>
      <c r="C54" s="271">
        <v>250</v>
      </c>
      <c r="D54" s="217">
        <v>250</v>
      </c>
      <c r="E54" s="279"/>
      <c r="F54" s="255"/>
      <c r="G54" s="309">
        <v>200</v>
      </c>
      <c r="H54" s="302"/>
      <c r="I54" s="311">
        <v>200</v>
      </c>
      <c r="J54" s="303"/>
      <c r="K54" s="331"/>
      <c r="L54" s="332"/>
      <c r="M54" s="332"/>
      <c r="N54" s="332"/>
      <c r="O54" s="218">
        <v>300</v>
      </c>
      <c r="P54" s="352"/>
      <c r="Q54" s="218">
        <v>300</v>
      </c>
      <c r="R54" s="352"/>
      <c r="S54" s="14"/>
    </row>
    <row r="55" spans="1:19" x14ac:dyDescent="0.35">
      <c r="A55">
        <v>19</v>
      </c>
      <c r="B55" s="43" t="s">
        <v>401</v>
      </c>
      <c r="C55" s="271">
        <v>250</v>
      </c>
      <c r="D55" s="255"/>
      <c r="E55" s="279">
        <v>250</v>
      </c>
      <c r="F55" s="255"/>
      <c r="G55" s="309">
        <v>200</v>
      </c>
      <c r="H55" s="302"/>
      <c r="I55" s="311">
        <v>200</v>
      </c>
      <c r="J55" s="303"/>
      <c r="K55" s="331"/>
      <c r="L55" s="332"/>
      <c r="M55" s="332"/>
      <c r="N55" s="332"/>
      <c r="O55" s="218">
        <v>300</v>
      </c>
      <c r="P55" s="352"/>
      <c r="Q55" s="218">
        <v>300</v>
      </c>
      <c r="R55" s="352"/>
      <c r="S55" s="14"/>
    </row>
    <row r="56" spans="1:19" x14ac:dyDescent="0.35">
      <c r="A56">
        <v>20</v>
      </c>
      <c r="B56" s="43" t="s">
        <v>251</v>
      </c>
      <c r="C56" s="271">
        <v>250</v>
      </c>
      <c r="D56" s="255">
        <v>250</v>
      </c>
      <c r="E56" s="279"/>
      <c r="F56" s="255"/>
      <c r="G56" s="309">
        <v>200</v>
      </c>
      <c r="H56" s="302">
        <v>200</v>
      </c>
      <c r="I56" s="311"/>
      <c r="J56" s="303"/>
      <c r="K56" s="331"/>
      <c r="L56" s="332"/>
      <c r="M56" s="332"/>
      <c r="N56" s="332"/>
      <c r="O56" s="218">
        <v>300</v>
      </c>
      <c r="P56" s="352">
        <v>300</v>
      </c>
      <c r="Q56" s="218"/>
      <c r="R56" s="352"/>
      <c r="S56" s="14"/>
    </row>
    <row r="57" spans="1:19" x14ac:dyDescent="0.35">
      <c r="A57">
        <v>21</v>
      </c>
      <c r="B57" s="43" t="s">
        <v>451</v>
      </c>
      <c r="C57" s="271">
        <v>250</v>
      </c>
      <c r="D57" s="255">
        <v>250</v>
      </c>
      <c r="E57" s="279"/>
      <c r="F57" s="255"/>
      <c r="G57" s="309">
        <v>200</v>
      </c>
      <c r="H57" s="302">
        <v>200</v>
      </c>
      <c r="I57" s="311"/>
      <c r="J57" s="303"/>
      <c r="K57" s="331"/>
      <c r="L57" s="332"/>
      <c r="M57" s="332"/>
      <c r="N57" s="332"/>
      <c r="O57" s="218">
        <v>300</v>
      </c>
      <c r="P57" s="352">
        <v>300</v>
      </c>
      <c r="Q57" s="218"/>
      <c r="R57" s="352"/>
      <c r="S57" s="14"/>
    </row>
    <row r="58" spans="1:19" x14ac:dyDescent="0.35">
      <c r="A58">
        <v>22</v>
      </c>
      <c r="B58" s="43" t="s">
        <v>450</v>
      </c>
      <c r="C58" s="271">
        <v>250</v>
      </c>
      <c r="D58" s="255">
        <v>250</v>
      </c>
      <c r="E58" s="279"/>
      <c r="F58" s="255"/>
      <c r="G58" s="309">
        <v>200</v>
      </c>
      <c r="H58" s="302">
        <v>200</v>
      </c>
      <c r="I58" s="311"/>
      <c r="J58" s="303"/>
      <c r="K58" s="331"/>
      <c r="L58" s="332"/>
      <c r="M58" s="332"/>
      <c r="N58" s="332"/>
      <c r="O58" s="218">
        <v>300</v>
      </c>
      <c r="P58" s="352">
        <v>300</v>
      </c>
      <c r="Q58" s="218"/>
      <c r="R58" s="352"/>
      <c r="S58" s="14"/>
    </row>
    <row r="59" spans="1:19" x14ac:dyDescent="0.35">
      <c r="A59">
        <v>23</v>
      </c>
      <c r="B59" s="43" t="s">
        <v>414</v>
      </c>
      <c r="C59" s="271">
        <v>250</v>
      </c>
      <c r="D59" s="217">
        <v>250</v>
      </c>
      <c r="E59" s="279">
        <v>0</v>
      </c>
      <c r="F59" s="255"/>
      <c r="G59" s="309">
        <v>200</v>
      </c>
      <c r="H59" s="304">
        <v>200</v>
      </c>
      <c r="I59" s="311">
        <v>0</v>
      </c>
      <c r="J59" s="303"/>
      <c r="K59" s="331"/>
      <c r="L59" s="332"/>
      <c r="M59" s="332"/>
      <c r="N59" s="332"/>
      <c r="O59" s="218"/>
      <c r="P59" s="352" t="s">
        <v>367</v>
      </c>
      <c r="Q59" s="218"/>
      <c r="R59" s="352"/>
      <c r="S59" s="14"/>
    </row>
    <row r="60" spans="1:19" s="239" customFormat="1" ht="15" thickBot="1" x14ac:dyDescent="0.4">
      <c r="B60" s="238"/>
      <c r="C60" s="135"/>
      <c r="D60" s="275">
        <f>SUM(D37:D59)</f>
        <v>4000</v>
      </c>
      <c r="E60" s="276">
        <f>SUM(E37:E59)</f>
        <v>1750</v>
      </c>
      <c r="F60" s="255"/>
      <c r="G60" s="302"/>
      <c r="H60" s="305">
        <f>SUM(H37:H59)</f>
        <v>3000</v>
      </c>
      <c r="I60" s="306">
        <f>SUM(I37:I59)</f>
        <v>1600</v>
      </c>
      <c r="J60" s="303"/>
      <c r="K60" s="331"/>
      <c r="L60" s="332"/>
      <c r="M60" s="332"/>
      <c r="N60" s="332"/>
      <c r="O60" s="352"/>
      <c r="P60" s="356">
        <f>SUM(P38:P59)</f>
        <v>1800</v>
      </c>
      <c r="Q60" s="356">
        <f>SUM(Q38:Q59)</f>
        <v>3000</v>
      </c>
      <c r="R60" s="352"/>
      <c r="S60" s="238"/>
    </row>
    <row r="61" spans="1:19" ht="15" thickBot="1" x14ac:dyDescent="0.4">
      <c r="B61" s="93" t="s">
        <v>295</v>
      </c>
      <c r="C61" s="76"/>
      <c r="D61" s="75"/>
      <c r="E61" s="75"/>
      <c r="F61" s="75"/>
      <c r="G61" s="313"/>
      <c r="H61" s="313"/>
      <c r="I61" s="314"/>
      <c r="J61" s="314"/>
      <c r="K61" s="337"/>
      <c r="L61" s="338"/>
      <c r="M61" s="338"/>
      <c r="N61" s="338"/>
      <c r="O61" s="159"/>
      <c r="P61" s="159"/>
      <c r="Q61" s="159"/>
      <c r="R61" s="159"/>
      <c r="S61" s="153"/>
    </row>
    <row r="62" spans="1:19" x14ac:dyDescent="0.35">
      <c r="A62">
        <v>1</v>
      </c>
      <c r="B62" s="58" t="s">
        <v>381</v>
      </c>
      <c r="C62" s="271">
        <v>250</v>
      </c>
      <c r="D62" s="279">
        <v>250</v>
      </c>
      <c r="E62" s="279"/>
      <c r="F62" s="279"/>
      <c r="G62" s="309">
        <v>200</v>
      </c>
      <c r="H62" s="309"/>
      <c r="I62" s="311">
        <v>200</v>
      </c>
      <c r="J62" s="311"/>
      <c r="K62" s="339">
        <v>270</v>
      </c>
      <c r="L62" s="336">
        <v>0</v>
      </c>
      <c r="M62" s="336">
        <v>270</v>
      </c>
      <c r="N62" s="336"/>
      <c r="O62" s="218">
        <v>300</v>
      </c>
      <c r="P62" s="218">
        <v>300</v>
      </c>
      <c r="Q62" s="218"/>
      <c r="R62" s="352"/>
      <c r="S62" s="14"/>
    </row>
    <row r="63" spans="1:19" x14ac:dyDescent="0.35">
      <c r="A63">
        <v>2</v>
      </c>
      <c r="B63" s="43" t="s">
        <v>376</v>
      </c>
      <c r="C63" s="271">
        <v>250</v>
      </c>
      <c r="D63" s="279">
        <v>250</v>
      </c>
      <c r="E63" s="279">
        <v>0</v>
      </c>
      <c r="F63" s="255"/>
      <c r="G63" s="309">
        <v>200</v>
      </c>
      <c r="H63" s="304">
        <v>200</v>
      </c>
      <c r="I63" s="311">
        <v>0</v>
      </c>
      <c r="J63" s="303"/>
      <c r="K63" s="339">
        <v>270</v>
      </c>
      <c r="L63" s="336">
        <v>270</v>
      </c>
      <c r="M63" s="336">
        <v>0</v>
      </c>
      <c r="N63" s="332"/>
      <c r="O63" s="218"/>
      <c r="P63" s="352" t="s">
        <v>367</v>
      </c>
      <c r="Q63" s="218">
        <v>0</v>
      </c>
      <c r="R63" s="352"/>
      <c r="S63" s="14"/>
    </row>
    <row r="64" spans="1:19" x14ac:dyDescent="0.35">
      <c r="A64">
        <v>3</v>
      </c>
      <c r="B64" s="43" t="s">
        <v>380</v>
      </c>
      <c r="C64" s="271">
        <v>250</v>
      </c>
      <c r="D64" s="279">
        <v>250</v>
      </c>
      <c r="E64" s="279">
        <v>0</v>
      </c>
      <c r="F64" s="255"/>
      <c r="G64" s="309">
        <v>200</v>
      </c>
      <c r="H64" s="304">
        <v>200</v>
      </c>
      <c r="I64" s="311">
        <v>0</v>
      </c>
      <c r="J64" s="303"/>
      <c r="K64" s="339">
        <v>270</v>
      </c>
      <c r="L64" s="336">
        <v>270</v>
      </c>
      <c r="M64" s="336">
        <v>0</v>
      </c>
      <c r="N64" s="332"/>
      <c r="O64" s="218"/>
      <c r="P64" s="352" t="s">
        <v>367</v>
      </c>
      <c r="Q64" s="218">
        <v>0</v>
      </c>
      <c r="R64" s="352"/>
      <c r="S64" s="14"/>
    </row>
    <row r="65" spans="1:19" x14ac:dyDescent="0.35">
      <c r="A65">
        <v>4</v>
      </c>
      <c r="B65" s="43" t="s">
        <v>382</v>
      </c>
      <c r="C65" s="271">
        <v>250</v>
      </c>
      <c r="D65" s="255"/>
      <c r="E65" s="279">
        <v>250</v>
      </c>
      <c r="F65" s="255"/>
      <c r="G65" s="309">
        <v>200</v>
      </c>
      <c r="H65" s="302"/>
      <c r="I65" s="311">
        <v>200</v>
      </c>
      <c r="J65" s="303"/>
      <c r="K65" s="339">
        <v>270</v>
      </c>
      <c r="L65" s="332"/>
      <c r="M65" s="336">
        <v>270</v>
      </c>
      <c r="N65" s="332"/>
      <c r="O65" s="218">
        <v>300</v>
      </c>
      <c r="P65" s="352"/>
      <c r="Q65" s="218">
        <v>300</v>
      </c>
      <c r="R65" s="352"/>
      <c r="S65" s="14"/>
    </row>
    <row r="66" spans="1:19" x14ac:dyDescent="0.35">
      <c r="A66">
        <v>6</v>
      </c>
      <c r="B66" s="43" t="s">
        <v>383</v>
      </c>
      <c r="C66" s="271">
        <v>250</v>
      </c>
      <c r="D66" s="217">
        <v>250</v>
      </c>
      <c r="E66" s="279">
        <v>0</v>
      </c>
      <c r="F66" s="255"/>
      <c r="G66" s="309">
        <v>200</v>
      </c>
      <c r="H66" s="302"/>
      <c r="I66" s="311">
        <v>200</v>
      </c>
      <c r="J66" s="303"/>
      <c r="K66" s="339">
        <v>270</v>
      </c>
      <c r="L66" s="341">
        <v>270</v>
      </c>
      <c r="M66" s="336">
        <v>0</v>
      </c>
      <c r="N66" s="332"/>
      <c r="O66" s="218">
        <v>300</v>
      </c>
      <c r="P66" s="352"/>
      <c r="Q66" s="218">
        <v>300</v>
      </c>
      <c r="R66" s="352"/>
      <c r="S66" s="14"/>
    </row>
    <row r="67" spans="1:19" x14ac:dyDescent="0.35">
      <c r="A67">
        <v>7</v>
      </c>
      <c r="B67" s="43" t="s">
        <v>384</v>
      </c>
      <c r="C67" s="271">
        <v>250</v>
      </c>
      <c r="D67" s="217">
        <v>250</v>
      </c>
      <c r="E67" s="279"/>
      <c r="F67" s="255"/>
      <c r="G67" s="309">
        <v>200</v>
      </c>
      <c r="H67" s="304">
        <v>200</v>
      </c>
      <c r="I67" s="311">
        <v>0</v>
      </c>
      <c r="J67" s="303"/>
      <c r="K67" s="339">
        <v>270</v>
      </c>
      <c r="L67" s="341">
        <v>270</v>
      </c>
      <c r="M67" s="336"/>
      <c r="N67" s="340"/>
      <c r="O67" s="218">
        <v>300</v>
      </c>
      <c r="P67" s="218">
        <v>300</v>
      </c>
      <c r="Q67" s="218"/>
      <c r="R67" s="352"/>
      <c r="S67" s="14"/>
    </row>
    <row r="68" spans="1:19" x14ac:dyDescent="0.35">
      <c r="A68">
        <v>8</v>
      </c>
      <c r="B68" s="43" t="s">
        <v>425</v>
      </c>
      <c r="C68" s="271">
        <v>250</v>
      </c>
      <c r="D68" s="217">
        <v>250</v>
      </c>
      <c r="E68" s="279"/>
      <c r="F68" s="255"/>
      <c r="G68" s="309">
        <v>200</v>
      </c>
      <c r="H68" s="304">
        <v>200</v>
      </c>
      <c r="I68" s="311"/>
      <c r="J68" s="303"/>
      <c r="K68" s="339">
        <v>270</v>
      </c>
      <c r="L68" s="341">
        <v>270</v>
      </c>
      <c r="M68" s="336">
        <v>270</v>
      </c>
      <c r="N68" s="340"/>
      <c r="O68" s="218"/>
      <c r="P68" s="352" t="s">
        <v>367</v>
      </c>
      <c r="Q68" s="218"/>
      <c r="R68" s="352"/>
      <c r="S68" s="14"/>
    </row>
    <row r="69" spans="1:19" x14ac:dyDescent="0.35">
      <c r="A69">
        <v>9</v>
      </c>
      <c r="B69" s="43" t="s">
        <v>385</v>
      </c>
      <c r="C69" s="271">
        <v>250</v>
      </c>
      <c r="D69" s="217">
        <v>250</v>
      </c>
      <c r="E69" s="279"/>
      <c r="F69" s="255"/>
      <c r="G69" s="309">
        <v>200</v>
      </c>
      <c r="H69" s="304">
        <v>200</v>
      </c>
      <c r="I69" s="311"/>
      <c r="J69" s="303"/>
      <c r="K69" s="339">
        <v>270</v>
      </c>
      <c r="L69" s="341">
        <v>270</v>
      </c>
      <c r="M69" s="336"/>
      <c r="N69" s="332"/>
      <c r="O69" s="218"/>
      <c r="P69" s="352" t="s">
        <v>427</v>
      </c>
      <c r="Q69" s="218"/>
      <c r="R69" s="352"/>
      <c r="S69" s="14"/>
    </row>
    <row r="70" spans="1:19" x14ac:dyDescent="0.35">
      <c r="A70">
        <v>10</v>
      </c>
      <c r="B70" s="43" t="s">
        <v>392</v>
      </c>
      <c r="C70" s="271">
        <v>250</v>
      </c>
      <c r="D70" s="255"/>
      <c r="E70" s="279">
        <v>250</v>
      </c>
      <c r="F70" s="255"/>
      <c r="G70" s="309">
        <v>200</v>
      </c>
      <c r="H70" s="302"/>
      <c r="I70" s="311">
        <v>200</v>
      </c>
      <c r="J70" s="303"/>
      <c r="K70" s="339">
        <v>270</v>
      </c>
      <c r="L70" s="332"/>
      <c r="M70" s="336">
        <v>270</v>
      </c>
      <c r="N70" s="332"/>
      <c r="O70" s="218">
        <v>300</v>
      </c>
      <c r="P70" s="352"/>
      <c r="Q70" s="218">
        <v>300</v>
      </c>
      <c r="R70" s="352"/>
      <c r="S70" s="14"/>
    </row>
    <row r="71" spans="1:19" x14ac:dyDescent="0.35">
      <c r="A71">
        <v>11</v>
      </c>
      <c r="B71" s="43" t="s">
        <v>386</v>
      </c>
      <c r="C71" s="271">
        <v>250</v>
      </c>
      <c r="D71" s="217">
        <v>250</v>
      </c>
      <c r="E71" s="279">
        <v>0</v>
      </c>
      <c r="F71" s="255"/>
      <c r="G71" s="309">
        <v>200</v>
      </c>
      <c r="H71" s="304">
        <v>200</v>
      </c>
      <c r="I71" s="311">
        <v>0</v>
      </c>
      <c r="J71" s="303"/>
      <c r="K71" s="339">
        <v>270</v>
      </c>
      <c r="L71" s="332"/>
      <c r="M71" s="336">
        <v>270</v>
      </c>
      <c r="N71" s="332"/>
      <c r="O71" s="218">
        <v>300</v>
      </c>
      <c r="P71" s="352"/>
      <c r="Q71" s="218">
        <v>300</v>
      </c>
      <c r="R71" s="352"/>
      <c r="S71" s="14"/>
    </row>
    <row r="72" spans="1:19" x14ac:dyDescent="0.35">
      <c r="A72">
        <v>12</v>
      </c>
      <c r="B72" s="43" t="s">
        <v>387</v>
      </c>
      <c r="C72" s="271">
        <v>250</v>
      </c>
      <c r="D72" s="255"/>
      <c r="E72" s="279">
        <v>250</v>
      </c>
      <c r="F72" s="255"/>
      <c r="G72" s="309">
        <v>200</v>
      </c>
      <c r="H72" s="302"/>
      <c r="I72" s="311">
        <v>200</v>
      </c>
      <c r="J72" s="303"/>
      <c r="K72" s="339">
        <v>270</v>
      </c>
      <c r="L72" s="340"/>
      <c r="M72" s="336">
        <v>270</v>
      </c>
      <c r="N72" s="340"/>
      <c r="O72" s="218"/>
      <c r="P72" s="352"/>
      <c r="Q72" s="218"/>
      <c r="R72" s="352"/>
      <c r="S72" s="14"/>
    </row>
    <row r="73" spans="1:19" x14ac:dyDescent="0.35">
      <c r="A73">
        <v>13</v>
      </c>
      <c r="B73" s="43" t="s">
        <v>388</v>
      </c>
      <c r="C73" s="271">
        <v>250</v>
      </c>
      <c r="D73" s="217">
        <v>250</v>
      </c>
      <c r="E73" s="279"/>
      <c r="F73" s="255"/>
      <c r="G73" s="309">
        <v>200</v>
      </c>
      <c r="H73" s="304">
        <v>200</v>
      </c>
      <c r="I73" s="311"/>
      <c r="J73" s="303"/>
      <c r="K73" s="339">
        <v>270</v>
      </c>
      <c r="L73" s="341">
        <v>270</v>
      </c>
      <c r="M73" s="336"/>
      <c r="N73" s="332"/>
      <c r="O73" s="218">
        <v>300</v>
      </c>
      <c r="P73" s="218">
        <v>300</v>
      </c>
      <c r="Q73" s="218"/>
      <c r="R73" s="352"/>
      <c r="S73" s="14"/>
    </row>
    <row r="74" spans="1:19" x14ac:dyDescent="0.35">
      <c r="A74">
        <v>14</v>
      </c>
      <c r="B74" s="43" t="s">
        <v>389</v>
      </c>
      <c r="C74" s="271">
        <v>250</v>
      </c>
      <c r="D74" s="255"/>
      <c r="E74" s="279">
        <v>250</v>
      </c>
      <c r="F74" s="255"/>
      <c r="G74" s="309">
        <v>200</v>
      </c>
      <c r="H74" s="304">
        <v>200</v>
      </c>
      <c r="I74" s="311">
        <v>0</v>
      </c>
      <c r="J74" s="303"/>
      <c r="K74" s="339">
        <v>270</v>
      </c>
      <c r="L74" s="341">
        <v>270</v>
      </c>
      <c r="M74" s="336"/>
      <c r="N74" s="340"/>
      <c r="O74" s="218"/>
      <c r="P74" s="352"/>
      <c r="Q74" s="218"/>
      <c r="R74" s="352"/>
      <c r="S74" s="14"/>
    </row>
    <row r="75" spans="1:19" x14ac:dyDescent="0.35">
      <c r="A75">
        <v>15</v>
      </c>
      <c r="B75" s="43" t="s">
        <v>321</v>
      </c>
      <c r="C75" s="271">
        <v>250</v>
      </c>
      <c r="D75" s="217">
        <v>250</v>
      </c>
      <c r="E75" s="279">
        <v>0</v>
      </c>
      <c r="F75" s="255"/>
      <c r="G75" s="309">
        <v>200</v>
      </c>
      <c r="H75" s="304">
        <v>200</v>
      </c>
      <c r="I75" s="311">
        <v>0</v>
      </c>
      <c r="J75" s="303"/>
      <c r="K75" s="339">
        <v>270</v>
      </c>
      <c r="L75" s="341">
        <v>270</v>
      </c>
      <c r="M75" s="336">
        <v>0</v>
      </c>
      <c r="N75" s="332"/>
      <c r="O75" s="218">
        <v>300</v>
      </c>
      <c r="P75" s="218">
        <v>300</v>
      </c>
      <c r="Q75" s="218">
        <v>0</v>
      </c>
      <c r="R75" s="352"/>
      <c r="S75" s="14"/>
    </row>
    <row r="76" spans="1:19" x14ac:dyDescent="0.35">
      <c r="A76">
        <v>16</v>
      </c>
      <c r="B76" s="43" t="s">
        <v>396</v>
      </c>
      <c r="C76" s="271">
        <v>250</v>
      </c>
      <c r="D76" s="217">
        <v>250</v>
      </c>
      <c r="E76" s="279"/>
      <c r="F76" s="255"/>
      <c r="G76" s="309">
        <v>200</v>
      </c>
      <c r="H76" s="304">
        <v>200</v>
      </c>
      <c r="I76" s="311"/>
      <c r="J76" s="303"/>
      <c r="K76" s="339">
        <v>270</v>
      </c>
      <c r="L76" s="341">
        <v>270</v>
      </c>
      <c r="M76" s="336"/>
      <c r="N76" s="332"/>
      <c r="O76" s="218">
        <v>300</v>
      </c>
      <c r="P76" s="218">
        <v>300</v>
      </c>
      <c r="Q76" s="218"/>
      <c r="R76" s="352"/>
      <c r="S76" s="14"/>
    </row>
    <row r="77" spans="1:19" x14ac:dyDescent="0.35">
      <c r="A77">
        <v>17</v>
      </c>
      <c r="B77" s="43" t="s">
        <v>390</v>
      </c>
      <c r="C77" s="271">
        <v>250</v>
      </c>
      <c r="D77" s="255"/>
      <c r="E77" s="279">
        <v>250</v>
      </c>
      <c r="F77" s="255"/>
      <c r="G77" s="309">
        <v>200</v>
      </c>
      <c r="H77" s="302"/>
      <c r="I77" s="311">
        <v>200</v>
      </c>
      <c r="J77" s="303"/>
      <c r="K77" s="339">
        <v>270</v>
      </c>
      <c r="L77" s="332"/>
      <c r="M77" s="336">
        <v>270</v>
      </c>
      <c r="N77" s="332"/>
      <c r="O77" s="218"/>
      <c r="P77" s="352"/>
      <c r="Q77" s="218"/>
      <c r="R77" s="352"/>
      <c r="S77" s="14"/>
    </row>
    <row r="78" spans="1:19" x14ac:dyDescent="0.35">
      <c r="A78">
        <v>18</v>
      </c>
      <c r="B78" s="43" t="s">
        <v>395</v>
      </c>
      <c r="C78" s="271">
        <v>250</v>
      </c>
      <c r="D78" s="255"/>
      <c r="E78" s="279">
        <v>250</v>
      </c>
      <c r="F78" s="255"/>
      <c r="G78" s="309">
        <v>200</v>
      </c>
      <c r="H78" s="302"/>
      <c r="I78" s="311">
        <v>200</v>
      </c>
      <c r="J78" s="303"/>
      <c r="K78" s="339">
        <v>270</v>
      </c>
      <c r="L78" s="332"/>
      <c r="M78" s="336">
        <v>270</v>
      </c>
      <c r="N78" s="332"/>
      <c r="O78" s="218">
        <v>300</v>
      </c>
      <c r="P78" s="352"/>
      <c r="Q78" s="218">
        <v>300</v>
      </c>
      <c r="R78" s="352"/>
      <c r="S78" s="14"/>
    </row>
    <row r="79" spans="1:19" x14ac:dyDescent="0.35">
      <c r="A79">
        <v>19</v>
      </c>
      <c r="B79" s="43" t="s">
        <v>391</v>
      </c>
      <c r="C79" s="271">
        <v>250</v>
      </c>
      <c r="D79" s="217">
        <v>250</v>
      </c>
      <c r="E79" s="279"/>
      <c r="F79" s="255"/>
      <c r="G79" s="309">
        <v>200</v>
      </c>
      <c r="H79" s="304">
        <v>200</v>
      </c>
      <c r="I79" s="311"/>
      <c r="J79" s="303"/>
      <c r="K79" s="339">
        <v>270</v>
      </c>
      <c r="L79" s="332"/>
      <c r="M79" s="336">
        <v>270</v>
      </c>
      <c r="N79" s="332"/>
      <c r="O79" s="218">
        <v>300</v>
      </c>
      <c r="P79" s="352"/>
      <c r="Q79" s="218">
        <v>300</v>
      </c>
      <c r="R79" s="352"/>
      <c r="S79" s="14"/>
    </row>
    <row r="80" spans="1:19" x14ac:dyDescent="0.35">
      <c r="A80">
        <v>20</v>
      </c>
      <c r="B80" s="43" t="s">
        <v>393</v>
      </c>
      <c r="C80" s="271">
        <v>250</v>
      </c>
      <c r="D80" s="217">
        <v>250</v>
      </c>
      <c r="E80" s="279">
        <v>0</v>
      </c>
      <c r="F80" s="255"/>
      <c r="G80" s="309">
        <v>200</v>
      </c>
      <c r="H80" s="304">
        <v>200</v>
      </c>
      <c r="I80" s="311">
        <v>0</v>
      </c>
      <c r="J80" s="303"/>
      <c r="K80" s="339">
        <v>270</v>
      </c>
      <c r="L80" s="341">
        <v>270</v>
      </c>
      <c r="M80" s="336">
        <v>0</v>
      </c>
      <c r="N80" s="332"/>
      <c r="O80" s="218">
        <v>300</v>
      </c>
      <c r="P80" s="352"/>
      <c r="Q80" s="218">
        <v>300</v>
      </c>
      <c r="R80" s="352"/>
      <c r="S80" s="14"/>
    </row>
    <row r="81" spans="1:19" x14ac:dyDescent="0.35">
      <c r="A81">
        <v>21</v>
      </c>
      <c r="B81" s="43" t="s">
        <v>394</v>
      </c>
      <c r="C81" s="271">
        <v>250</v>
      </c>
      <c r="D81" s="255"/>
      <c r="E81" s="279">
        <v>250</v>
      </c>
      <c r="F81" s="255"/>
      <c r="G81" s="309">
        <v>200</v>
      </c>
      <c r="H81" s="302"/>
      <c r="I81" s="311">
        <v>200</v>
      </c>
      <c r="J81" s="303"/>
      <c r="K81" s="339">
        <v>270</v>
      </c>
      <c r="L81" s="332"/>
      <c r="M81" s="336">
        <v>270</v>
      </c>
      <c r="N81" s="332"/>
      <c r="O81" s="218">
        <v>300</v>
      </c>
      <c r="P81" s="352"/>
      <c r="Q81" s="218">
        <v>300</v>
      </c>
      <c r="R81" s="352"/>
      <c r="S81" s="14"/>
    </row>
    <row r="82" spans="1:19" x14ac:dyDescent="0.35">
      <c r="A82">
        <v>22</v>
      </c>
      <c r="B82" s="14" t="s">
        <v>416</v>
      </c>
      <c r="C82" s="271">
        <v>250</v>
      </c>
      <c r="D82" s="255"/>
      <c r="E82" s="279">
        <v>250</v>
      </c>
      <c r="F82" s="255"/>
      <c r="G82" s="309">
        <v>200</v>
      </c>
      <c r="H82" s="302"/>
      <c r="I82" s="311">
        <v>200</v>
      </c>
      <c r="J82" s="303"/>
      <c r="K82" s="339">
        <v>270</v>
      </c>
      <c r="L82" s="332"/>
      <c r="M82" s="336">
        <v>270</v>
      </c>
      <c r="N82" s="332"/>
      <c r="O82" s="218"/>
      <c r="P82" s="352"/>
      <c r="Q82" s="218"/>
      <c r="R82" s="352"/>
      <c r="S82" s="14"/>
    </row>
    <row r="83" spans="1:19" s="239" customFormat="1" ht="15" thickBot="1" x14ac:dyDescent="0.4">
      <c r="B83" s="240"/>
      <c r="C83" s="267"/>
      <c r="D83" s="280">
        <f>SUM(D62:D82)</f>
        <v>3250</v>
      </c>
      <c r="E83" s="280">
        <f>SUM(E62:E82)</f>
        <v>2000</v>
      </c>
      <c r="F83" s="281"/>
      <c r="G83" s="315"/>
      <c r="H83" s="316">
        <f>SUM(H62:H82)</f>
        <v>2400</v>
      </c>
      <c r="I83" s="317">
        <f>SUM(I62:I82)</f>
        <v>1800</v>
      </c>
      <c r="J83" s="318"/>
      <c r="K83" s="342"/>
      <c r="L83" s="343">
        <f>SUM(L62:L82)</f>
        <v>2970</v>
      </c>
      <c r="M83" s="343">
        <f>SUM(M62:M82)</f>
        <v>2970</v>
      </c>
      <c r="N83" s="344"/>
      <c r="O83" s="352"/>
      <c r="P83" s="218">
        <f>SUM(P62:P82)</f>
        <v>1500</v>
      </c>
      <c r="Q83" s="353">
        <f>SUM(Q62:Q82)</f>
        <v>2400</v>
      </c>
      <c r="R83" s="352"/>
      <c r="S83" s="238"/>
    </row>
    <row r="84" spans="1:19" ht="15" thickBot="1" x14ac:dyDescent="0.4">
      <c r="B84" s="62" t="s">
        <v>27</v>
      </c>
      <c r="C84" s="76"/>
      <c r="D84" s="75"/>
      <c r="E84" s="75"/>
      <c r="F84" s="75"/>
      <c r="G84" s="313"/>
      <c r="H84" s="313"/>
      <c r="I84" s="314"/>
      <c r="J84" s="314"/>
      <c r="K84" s="337"/>
      <c r="L84" s="338"/>
      <c r="M84" s="338"/>
      <c r="N84" s="338"/>
      <c r="O84" s="159"/>
      <c r="P84" s="159"/>
      <c r="Q84" s="159"/>
      <c r="R84" s="159"/>
      <c r="S84" s="154"/>
    </row>
    <row r="85" spans="1:19" x14ac:dyDescent="0.35">
      <c r="A85">
        <v>1</v>
      </c>
      <c r="B85" s="58" t="s">
        <v>162</v>
      </c>
      <c r="C85" s="271">
        <v>250</v>
      </c>
      <c r="D85" s="279">
        <v>250</v>
      </c>
      <c r="E85" s="279">
        <v>0</v>
      </c>
      <c r="F85" s="278"/>
      <c r="G85" s="309">
        <v>200</v>
      </c>
      <c r="H85" s="309">
        <v>200</v>
      </c>
      <c r="I85" s="311">
        <v>0</v>
      </c>
      <c r="J85" s="312"/>
      <c r="K85" s="339">
        <v>270</v>
      </c>
      <c r="L85" s="336">
        <v>270</v>
      </c>
      <c r="M85" s="336">
        <v>0</v>
      </c>
      <c r="N85" s="345"/>
      <c r="O85" s="218">
        <v>300</v>
      </c>
      <c r="P85" s="352"/>
      <c r="Q85" s="218">
        <v>0</v>
      </c>
      <c r="R85" s="352"/>
      <c r="S85" s="14"/>
    </row>
    <row r="86" spans="1:19" x14ac:dyDescent="0.35">
      <c r="A86">
        <v>2</v>
      </c>
      <c r="B86" s="43" t="s">
        <v>368</v>
      </c>
      <c r="C86" s="271">
        <v>250</v>
      </c>
      <c r="D86" s="255"/>
      <c r="E86" s="279">
        <v>250</v>
      </c>
      <c r="F86" s="255"/>
      <c r="G86" s="309">
        <v>200</v>
      </c>
      <c r="H86" s="302"/>
      <c r="I86" s="311">
        <v>200</v>
      </c>
      <c r="J86" s="303"/>
      <c r="K86" s="339">
        <v>270</v>
      </c>
      <c r="L86" s="332"/>
      <c r="M86" s="336">
        <v>270</v>
      </c>
      <c r="N86" s="332"/>
      <c r="O86" s="218"/>
      <c r="P86" s="352"/>
      <c r="Q86" s="218"/>
      <c r="R86" s="352"/>
      <c r="S86" s="14"/>
    </row>
    <row r="87" spans="1:19" x14ac:dyDescent="0.35">
      <c r="A87">
        <v>3</v>
      </c>
      <c r="B87" s="43" t="s">
        <v>369</v>
      </c>
      <c r="C87" s="271">
        <v>250</v>
      </c>
      <c r="D87" s="255"/>
      <c r="E87" s="279">
        <v>250</v>
      </c>
      <c r="F87" s="255"/>
      <c r="G87" s="309">
        <v>200</v>
      </c>
      <c r="H87" s="302"/>
      <c r="I87" s="311">
        <v>200</v>
      </c>
      <c r="J87" s="303"/>
      <c r="K87" s="339">
        <v>270</v>
      </c>
      <c r="L87" s="332"/>
      <c r="M87" s="336">
        <v>270</v>
      </c>
      <c r="N87" s="332"/>
      <c r="O87" s="218"/>
      <c r="P87" s="352"/>
      <c r="Q87" s="218"/>
      <c r="R87" s="352"/>
      <c r="S87" s="14"/>
    </row>
    <row r="88" spans="1:19" x14ac:dyDescent="0.35">
      <c r="A88">
        <v>4</v>
      </c>
      <c r="B88" s="43" t="s">
        <v>370</v>
      </c>
      <c r="C88" s="271">
        <v>250</v>
      </c>
      <c r="D88" s="217">
        <v>250</v>
      </c>
      <c r="E88" s="279">
        <v>0</v>
      </c>
      <c r="F88" s="255"/>
      <c r="G88" s="309">
        <v>200</v>
      </c>
      <c r="H88" s="304">
        <v>200</v>
      </c>
      <c r="I88" s="311">
        <v>0</v>
      </c>
      <c r="J88" s="303"/>
      <c r="K88" s="339">
        <v>270</v>
      </c>
      <c r="L88" s="341">
        <v>270</v>
      </c>
      <c r="M88" s="336">
        <v>0</v>
      </c>
      <c r="N88" s="332"/>
      <c r="O88" s="218"/>
      <c r="P88" s="352" t="s">
        <v>367</v>
      </c>
      <c r="Q88" s="218">
        <v>0</v>
      </c>
      <c r="R88" s="352"/>
      <c r="S88" s="14"/>
    </row>
    <row r="89" spans="1:19" x14ac:dyDescent="0.35">
      <c r="A89">
        <v>5</v>
      </c>
      <c r="B89" s="43" t="s">
        <v>371</v>
      </c>
      <c r="C89" s="271">
        <v>250</v>
      </c>
      <c r="D89" s="217">
        <v>250</v>
      </c>
      <c r="E89" s="279"/>
      <c r="F89" s="255"/>
      <c r="G89" s="309">
        <v>200</v>
      </c>
      <c r="H89" s="304">
        <v>200</v>
      </c>
      <c r="I89" s="311"/>
      <c r="J89" s="303"/>
      <c r="K89" s="339">
        <v>270</v>
      </c>
      <c r="L89" s="341">
        <v>270</v>
      </c>
      <c r="M89" s="336"/>
      <c r="N89" s="332"/>
      <c r="O89" s="218">
        <v>300</v>
      </c>
      <c r="P89" s="218">
        <v>300</v>
      </c>
      <c r="Q89" s="218"/>
      <c r="R89" s="352"/>
      <c r="S89" s="14"/>
    </row>
    <row r="90" spans="1:19" x14ac:dyDescent="0.35">
      <c r="A90">
        <v>6</v>
      </c>
      <c r="B90" s="43" t="s">
        <v>372</v>
      </c>
      <c r="C90" s="271">
        <v>250</v>
      </c>
      <c r="D90" s="217">
        <v>250</v>
      </c>
      <c r="E90" s="279">
        <v>250</v>
      </c>
      <c r="F90" s="255"/>
      <c r="G90" s="309">
        <v>200</v>
      </c>
      <c r="H90" s="304">
        <v>200</v>
      </c>
      <c r="I90" s="311">
        <v>0</v>
      </c>
      <c r="J90" s="303"/>
      <c r="K90" s="339">
        <v>270</v>
      </c>
      <c r="L90" s="341">
        <v>270</v>
      </c>
      <c r="M90" s="336">
        <v>0</v>
      </c>
      <c r="N90" s="332"/>
      <c r="O90" s="218">
        <v>300</v>
      </c>
      <c r="P90" s="352"/>
      <c r="Q90" s="218">
        <v>300</v>
      </c>
      <c r="R90" s="352"/>
      <c r="S90" s="14"/>
    </row>
    <row r="91" spans="1:19" x14ac:dyDescent="0.35">
      <c r="A91">
        <v>7</v>
      </c>
      <c r="B91" s="43" t="s">
        <v>373</v>
      </c>
      <c r="C91" s="271">
        <v>250</v>
      </c>
      <c r="D91" s="255"/>
      <c r="E91" s="279">
        <v>250</v>
      </c>
      <c r="F91" s="255"/>
      <c r="G91" s="309">
        <v>200</v>
      </c>
      <c r="H91" s="302"/>
      <c r="I91" s="311">
        <v>200</v>
      </c>
      <c r="J91" s="303"/>
      <c r="K91" s="339">
        <v>270</v>
      </c>
      <c r="L91" s="332"/>
      <c r="M91" s="336">
        <v>270</v>
      </c>
      <c r="N91" s="332"/>
      <c r="O91" s="218">
        <v>300</v>
      </c>
      <c r="P91" s="352"/>
      <c r="Q91" s="218">
        <v>300</v>
      </c>
      <c r="R91" s="352"/>
      <c r="S91" s="14"/>
    </row>
    <row r="92" spans="1:19" x14ac:dyDescent="0.35">
      <c r="A92">
        <v>8</v>
      </c>
      <c r="B92" s="43" t="s">
        <v>374</v>
      </c>
      <c r="C92" s="271">
        <v>250</v>
      </c>
      <c r="D92" s="217">
        <v>250</v>
      </c>
      <c r="E92" s="279">
        <v>0</v>
      </c>
      <c r="F92" s="255"/>
      <c r="G92" s="309">
        <v>200</v>
      </c>
      <c r="H92" s="304">
        <v>200</v>
      </c>
      <c r="I92" s="311">
        <v>0</v>
      </c>
      <c r="J92" s="303"/>
      <c r="K92" s="339">
        <v>270</v>
      </c>
      <c r="L92" s="341">
        <v>270</v>
      </c>
      <c r="M92" s="336">
        <v>0</v>
      </c>
      <c r="N92" s="332"/>
      <c r="O92" s="218">
        <v>300</v>
      </c>
      <c r="P92" s="218">
        <v>300</v>
      </c>
      <c r="Q92" s="218">
        <v>0</v>
      </c>
      <c r="R92" s="352"/>
      <c r="S92" s="14"/>
    </row>
    <row r="93" spans="1:19" x14ac:dyDescent="0.35">
      <c r="A93">
        <v>10</v>
      </c>
      <c r="B93" s="43" t="s">
        <v>375</v>
      </c>
      <c r="C93" s="271">
        <v>250</v>
      </c>
      <c r="D93" s="217">
        <v>250</v>
      </c>
      <c r="E93" s="279"/>
      <c r="F93" s="255"/>
      <c r="G93" s="309">
        <v>200</v>
      </c>
      <c r="H93" s="304">
        <v>200</v>
      </c>
      <c r="I93" s="311"/>
      <c r="J93" s="303"/>
      <c r="K93" s="339">
        <v>270</v>
      </c>
      <c r="L93" s="341">
        <v>270</v>
      </c>
      <c r="M93" s="336"/>
      <c r="N93" s="332"/>
      <c r="O93" s="218">
        <v>300</v>
      </c>
      <c r="P93" s="218">
        <v>300</v>
      </c>
      <c r="Q93" s="218"/>
      <c r="R93" s="352"/>
      <c r="S93" s="14"/>
    </row>
    <row r="94" spans="1:19" x14ac:dyDescent="0.35">
      <c r="A94">
        <v>11</v>
      </c>
      <c r="B94" s="43" t="s">
        <v>376</v>
      </c>
      <c r="C94" s="271">
        <v>250</v>
      </c>
      <c r="D94" s="217">
        <v>250</v>
      </c>
      <c r="E94" s="279">
        <v>0</v>
      </c>
      <c r="F94" s="255"/>
      <c r="G94" s="309">
        <v>200</v>
      </c>
      <c r="H94" s="304">
        <v>200</v>
      </c>
      <c r="I94" s="311">
        <v>0</v>
      </c>
      <c r="J94" s="303"/>
      <c r="K94" s="339">
        <v>270</v>
      </c>
      <c r="L94" s="341">
        <v>270</v>
      </c>
      <c r="M94" s="336">
        <v>0</v>
      </c>
      <c r="N94" s="332"/>
      <c r="O94" s="218"/>
      <c r="P94" s="352" t="s">
        <v>367</v>
      </c>
      <c r="Q94" s="218"/>
      <c r="R94" s="352"/>
      <c r="S94" s="14"/>
    </row>
    <row r="95" spans="1:19" x14ac:dyDescent="0.35">
      <c r="A95">
        <v>12</v>
      </c>
      <c r="B95" s="43" t="s">
        <v>377</v>
      </c>
      <c r="C95" s="271">
        <v>250</v>
      </c>
      <c r="D95" s="255"/>
      <c r="E95" s="279">
        <v>250</v>
      </c>
      <c r="F95" s="255"/>
      <c r="G95" s="309">
        <v>200</v>
      </c>
      <c r="H95" s="302"/>
      <c r="I95" s="311">
        <v>200</v>
      </c>
      <c r="J95" s="303"/>
      <c r="K95" s="339">
        <v>270</v>
      </c>
      <c r="L95" s="332"/>
      <c r="M95" s="336">
        <v>270</v>
      </c>
      <c r="N95" s="332"/>
      <c r="O95" s="218">
        <v>0</v>
      </c>
      <c r="P95" s="352"/>
      <c r="Q95" s="218">
        <v>0</v>
      </c>
      <c r="R95" s="352"/>
      <c r="S95" s="14"/>
    </row>
    <row r="96" spans="1:19" x14ac:dyDescent="0.35">
      <c r="A96">
        <v>13</v>
      </c>
      <c r="B96" s="43" t="s">
        <v>378</v>
      </c>
      <c r="C96" s="271">
        <v>250</v>
      </c>
      <c r="D96" s="255"/>
      <c r="E96" s="279">
        <v>250</v>
      </c>
      <c r="F96" s="255"/>
      <c r="G96" s="309">
        <v>200</v>
      </c>
      <c r="H96" s="302"/>
      <c r="I96" s="311">
        <v>200</v>
      </c>
      <c r="J96" s="303"/>
      <c r="K96" s="339">
        <v>270</v>
      </c>
      <c r="L96" s="332"/>
      <c r="M96" s="336">
        <v>270</v>
      </c>
      <c r="N96" s="332"/>
      <c r="O96" s="218">
        <v>300</v>
      </c>
      <c r="P96" s="352"/>
      <c r="Q96" s="218">
        <v>300</v>
      </c>
      <c r="R96" s="352"/>
      <c r="S96" s="14"/>
    </row>
    <row r="97" spans="1:19" x14ac:dyDescent="0.35">
      <c r="A97">
        <v>14</v>
      </c>
      <c r="B97" s="43" t="s">
        <v>157</v>
      </c>
      <c r="C97" s="271">
        <v>250</v>
      </c>
      <c r="D97" s="217">
        <v>250</v>
      </c>
      <c r="E97" s="279">
        <v>0</v>
      </c>
      <c r="F97" s="255"/>
      <c r="G97" s="309">
        <v>200</v>
      </c>
      <c r="H97" s="304">
        <v>200</v>
      </c>
      <c r="I97" s="311">
        <v>0</v>
      </c>
      <c r="J97" s="303"/>
      <c r="K97" s="339">
        <v>270</v>
      </c>
      <c r="L97" s="341">
        <v>270</v>
      </c>
      <c r="M97" s="336">
        <v>0</v>
      </c>
      <c r="N97" s="332"/>
      <c r="O97" s="218">
        <v>300</v>
      </c>
      <c r="P97" s="352"/>
      <c r="Q97" s="218">
        <v>300</v>
      </c>
      <c r="R97" s="352"/>
      <c r="S97" s="14"/>
    </row>
    <row r="98" spans="1:19" x14ac:dyDescent="0.35">
      <c r="A98">
        <v>15</v>
      </c>
      <c r="B98" s="43" t="s">
        <v>125</v>
      </c>
      <c r="C98" s="271">
        <v>250</v>
      </c>
      <c r="D98" s="217">
        <v>250</v>
      </c>
      <c r="E98" s="279">
        <v>0</v>
      </c>
      <c r="F98" s="255"/>
      <c r="G98" s="309">
        <v>200</v>
      </c>
      <c r="H98" s="304">
        <v>200</v>
      </c>
      <c r="I98" s="311">
        <v>0</v>
      </c>
      <c r="J98" s="303"/>
      <c r="K98" s="339">
        <v>270</v>
      </c>
      <c r="L98" s="341">
        <v>270</v>
      </c>
      <c r="M98" s="336">
        <v>0</v>
      </c>
      <c r="N98" s="332"/>
      <c r="O98" s="218">
        <v>300</v>
      </c>
      <c r="P98" s="352"/>
      <c r="Q98" s="218">
        <v>300</v>
      </c>
      <c r="R98" s="352"/>
      <c r="S98" s="14"/>
    </row>
    <row r="99" spans="1:19" x14ac:dyDescent="0.35">
      <c r="A99">
        <v>16</v>
      </c>
      <c r="B99" s="43" t="s">
        <v>379</v>
      </c>
      <c r="C99" s="271">
        <v>250</v>
      </c>
      <c r="D99" s="217">
        <v>250</v>
      </c>
      <c r="E99" s="279">
        <v>0</v>
      </c>
      <c r="F99" s="255"/>
      <c r="G99" s="309">
        <v>200</v>
      </c>
      <c r="H99" s="304">
        <v>200</v>
      </c>
      <c r="I99" s="311">
        <v>0</v>
      </c>
      <c r="J99" s="303"/>
      <c r="K99" s="339">
        <v>270</v>
      </c>
      <c r="L99" s="341">
        <v>270</v>
      </c>
      <c r="M99" s="336">
        <v>0</v>
      </c>
      <c r="N99" s="332"/>
      <c r="O99" s="218"/>
      <c r="P99" s="352"/>
      <c r="Q99" s="218">
        <v>0</v>
      </c>
      <c r="R99" s="352"/>
      <c r="S99" s="14"/>
    </row>
    <row r="100" spans="1:19" s="239" customFormat="1" x14ac:dyDescent="0.35">
      <c r="B100" s="238"/>
      <c r="C100" s="274"/>
      <c r="D100" s="275">
        <f>SUM(D85:D99)</f>
        <v>2500</v>
      </c>
      <c r="E100" s="276">
        <f>SUM(E85:E99)</f>
        <v>1500</v>
      </c>
      <c r="F100" s="255"/>
      <c r="G100" s="305"/>
      <c r="H100" s="305">
        <f>SUM(H85:H99)</f>
        <v>2000</v>
      </c>
      <c r="I100" s="306">
        <f>SUM(I85:I99)</f>
        <v>1000</v>
      </c>
      <c r="J100" s="303"/>
      <c r="K100" s="346"/>
      <c r="L100" s="341">
        <f>SUM(L85:L99)</f>
        <v>2700</v>
      </c>
      <c r="M100" s="347">
        <f>SUM(M85:M99)</f>
        <v>1350</v>
      </c>
      <c r="N100" s="332"/>
      <c r="O100" s="352"/>
      <c r="P100" s="352">
        <v>0</v>
      </c>
      <c r="Q100" s="356">
        <f>SUM(Q85:Q99)</f>
        <v>1500</v>
      </c>
      <c r="R100" s="352"/>
      <c r="S100" s="238"/>
    </row>
    <row r="101" spans="1:19" x14ac:dyDescent="0.35">
      <c r="B101" s="20" t="s">
        <v>28</v>
      </c>
      <c r="C101" s="271"/>
      <c r="D101" s="255"/>
      <c r="E101" s="255"/>
      <c r="F101" s="255"/>
      <c r="G101" s="302"/>
      <c r="H101" s="302"/>
      <c r="I101" s="303"/>
      <c r="J101" s="303"/>
      <c r="K101" s="331"/>
      <c r="L101" s="332"/>
      <c r="M101" s="332"/>
      <c r="N101" s="332"/>
      <c r="O101" s="357"/>
      <c r="P101" s="357"/>
      <c r="Q101" s="357"/>
      <c r="R101" s="357"/>
      <c r="S101" s="155"/>
    </row>
    <row r="102" spans="1:19" x14ac:dyDescent="0.35">
      <c r="A102">
        <v>1</v>
      </c>
      <c r="B102" s="43" t="s">
        <v>297</v>
      </c>
      <c r="C102" s="135">
        <v>250</v>
      </c>
      <c r="D102" s="217">
        <v>250</v>
      </c>
      <c r="E102" s="217">
        <v>0</v>
      </c>
      <c r="F102" s="255"/>
      <c r="G102" s="304">
        <v>200</v>
      </c>
      <c r="H102" s="304">
        <v>200</v>
      </c>
      <c r="I102" s="319">
        <v>0</v>
      </c>
      <c r="J102" s="303"/>
      <c r="K102" s="348">
        <v>270</v>
      </c>
      <c r="L102" s="341">
        <v>270</v>
      </c>
      <c r="M102" s="341">
        <v>0</v>
      </c>
      <c r="N102" s="332"/>
      <c r="O102" s="218"/>
      <c r="P102" s="352"/>
      <c r="Q102" s="218">
        <v>0</v>
      </c>
      <c r="R102" s="352"/>
      <c r="S102" s="14"/>
    </row>
    <row r="103" spans="1:19" x14ac:dyDescent="0.35">
      <c r="A103">
        <v>2</v>
      </c>
      <c r="B103" s="43" t="s">
        <v>298</v>
      </c>
      <c r="C103" s="135">
        <v>250</v>
      </c>
      <c r="D103" s="255"/>
      <c r="E103" s="217">
        <v>250</v>
      </c>
      <c r="F103" s="255"/>
      <c r="G103" s="304">
        <v>200</v>
      </c>
      <c r="H103" s="302"/>
      <c r="I103" s="319">
        <v>200</v>
      </c>
      <c r="J103" s="303"/>
      <c r="K103" s="348">
        <v>270</v>
      </c>
      <c r="L103" s="332"/>
      <c r="M103" s="341">
        <v>270</v>
      </c>
      <c r="N103" s="332"/>
      <c r="O103" s="218">
        <v>300</v>
      </c>
      <c r="P103" s="352"/>
      <c r="Q103" s="218">
        <v>300</v>
      </c>
      <c r="R103" s="352"/>
      <c r="S103" s="14"/>
    </row>
    <row r="104" spans="1:19" x14ac:dyDescent="0.35">
      <c r="A104">
        <v>3</v>
      </c>
      <c r="B104" s="43" t="s">
        <v>299</v>
      </c>
      <c r="C104" s="135">
        <v>250</v>
      </c>
      <c r="D104" s="217">
        <v>250</v>
      </c>
      <c r="E104" s="217"/>
      <c r="F104" s="255"/>
      <c r="G104" s="304">
        <v>200</v>
      </c>
      <c r="H104" s="304">
        <v>200</v>
      </c>
      <c r="I104" s="319"/>
      <c r="J104" s="303"/>
      <c r="K104" s="348">
        <v>270</v>
      </c>
      <c r="L104" s="332">
        <v>270</v>
      </c>
      <c r="M104" s="341"/>
      <c r="N104" s="332"/>
      <c r="O104" s="218">
        <v>300</v>
      </c>
      <c r="P104" s="352"/>
      <c r="Q104" s="218">
        <v>300</v>
      </c>
      <c r="R104" s="352"/>
      <c r="S104" s="14"/>
    </row>
    <row r="105" spans="1:19" x14ac:dyDescent="0.35">
      <c r="A105">
        <v>4</v>
      </c>
      <c r="B105" s="43" t="s">
        <v>117</v>
      </c>
      <c r="C105" s="135">
        <v>250</v>
      </c>
      <c r="D105" s="217">
        <v>250</v>
      </c>
      <c r="E105" s="217">
        <v>0</v>
      </c>
      <c r="F105" s="255"/>
      <c r="G105" s="304">
        <v>200</v>
      </c>
      <c r="H105" s="304">
        <v>200</v>
      </c>
      <c r="I105" s="319">
        <v>0</v>
      </c>
      <c r="J105" s="303"/>
      <c r="K105" s="348">
        <v>270</v>
      </c>
      <c r="L105" s="332"/>
      <c r="M105" s="341">
        <v>270</v>
      </c>
      <c r="N105" s="332"/>
      <c r="O105" s="218">
        <v>300</v>
      </c>
      <c r="P105" s="218">
        <v>300</v>
      </c>
      <c r="Q105" s="218">
        <v>0</v>
      </c>
      <c r="R105" s="352"/>
      <c r="S105" s="14"/>
    </row>
    <row r="106" spans="1:19" x14ac:dyDescent="0.35">
      <c r="A106">
        <v>5</v>
      </c>
      <c r="B106" s="43" t="s">
        <v>173</v>
      </c>
      <c r="C106" s="135">
        <v>250</v>
      </c>
      <c r="D106" s="255"/>
      <c r="E106" s="217">
        <v>250</v>
      </c>
      <c r="F106" s="255"/>
      <c r="G106" s="304">
        <v>200</v>
      </c>
      <c r="H106" s="302"/>
      <c r="I106" s="319">
        <v>200</v>
      </c>
      <c r="J106" s="303"/>
      <c r="K106" s="348">
        <v>270</v>
      </c>
      <c r="L106" s="332"/>
      <c r="M106" s="341">
        <v>270</v>
      </c>
      <c r="N106" s="332"/>
      <c r="O106" s="218">
        <v>300</v>
      </c>
      <c r="P106" s="352"/>
      <c r="Q106" s="218">
        <v>300</v>
      </c>
      <c r="R106" s="352"/>
      <c r="S106" s="14"/>
    </row>
    <row r="107" spans="1:19" x14ac:dyDescent="0.35">
      <c r="A107">
        <v>6</v>
      </c>
      <c r="B107" s="43" t="s">
        <v>300</v>
      </c>
      <c r="C107" s="135">
        <v>250</v>
      </c>
      <c r="D107" s="217">
        <v>250</v>
      </c>
      <c r="E107" s="217"/>
      <c r="F107" s="255"/>
      <c r="G107" s="304">
        <v>200</v>
      </c>
      <c r="H107" s="304">
        <v>200</v>
      </c>
      <c r="I107" s="319"/>
      <c r="J107" s="303"/>
      <c r="K107" s="348">
        <v>270</v>
      </c>
      <c r="L107" s="341">
        <v>270</v>
      </c>
      <c r="M107" s="341"/>
      <c r="N107" s="332"/>
      <c r="O107" s="218">
        <v>300</v>
      </c>
      <c r="P107" s="218">
        <v>300</v>
      </c>
      <c r="Q107" s="218"/>
      <c r="R107" s="352"/>
      <c r="S107" s="14"/>
    </row>
    <row r="108" spans="1:19" x14ac:dyDescent="0.35">
      <c r="A108">
        <v>7</v>
      </c>
      <c r="B108" s="43" t="s">
        <v>301</v>
      </c>
      <c r="C108" s="135">
        <v>250</v>
      </c>
      <c r="D108" s="255"/>
      <c r="E108" s="217">
        <v>250</v>
      </c>
      <c r="F108" s="255"/>
      <c r="G108" s="304">
        <v>200</v>
      </c>
      <c r="H108" s="302"/>
      <c r="I108" s="319">
        <v>200</v>
      </c>
      <c r="J108" s="303"/>
      <c r="K108" s="348">
        <v>270</v>
      </c>
      <c r="L108" s="332"/>
      <c r="M108" s="341">
        <v>270</v>
      </c>
      <c r="N108" s="332"/>
      <c r="O108" s="218"/>
      <c r="P108" s="352"/>
      <c r="Q108" s="218"/>
      <c r="R108" s="352"/>
      <c r="S108" s="14"/>
    </row>
    <row r="109" spans="1:19" x14ac:dyDescent="0.35">
      <c r="A109">
        <v>8</v>
      </c>
      <c r="B109" s="43" t="s">
        <v>302</v>
      </c>
      <c r="C109" s="135">
        <v>250</v>
      </c>
      <c r="D109" s="217">
        <v>250</v>
      </c>
      <c r="E109" s="217">
        <v>0</v>
      </c>
      <c r="F109" s="255"/>
      <c r="G109" s="304">
        <v>200</v>
      </c>
      <c r="H109" s="304">
        <v>200</v>
      </c>
      <c r="I109" s="319">
        <v>0</v>
      </c>
      <c r="J109" s="303"/>
      <c r="K109" s="348">
        <v>270</v>
      </c>
      <c r="L109" s="341">
        <v>270</v>
      </c>
      <c r="M109" s="341">
        <v>0</v>
      </c>
      <c r="N109" s="332"/>
      <c r="O109" s="218">
        <v>300</v>
      </c>
      <c r="P109" s="218">
        <v>300</v>
      </c>
      <c r="Q109" s="218">
        <v>0</v>
      </c>
      <c r="R109" s="352"/>
      <c r="S109" s="14"/>
    </row>
    <row r="110" spans="1:19" x14ac:dyDescent="0.35">
      <c r="A110">
        <v>9</v>
      </c>
      <c r="B110" s="43" t="s">
        <v>415</v>
      </c>
      <c r="C110" s="135">
        <v>250</v>
      </c>
      <c r="D110" s="255"/>
      <c r="E110" s="217">
        <v>250</v>
      </c>
      <c r="F110" s="255"/>
      <c r="G110" s="304">
        <v>200</v>
      </c>
      <c r="H110" s="302"/>
      <c r="I110" s="319">
        <v>200</v>
      </c>
      <c r="J110" s="303"/>
      <c r="K110" s="348">
        <v>270</v>
      </c>
      <c r="L110" s="332"/>
      <c r="M110" s="341">
        <v>270</v>
      </c>
      <c r="N110" s="332"/>
      <c r="O110" s="218"/>
      <c r="P110" s="352"/>
      <c r="Q110" s="218"/>
      <c r="R110" s="352"/>
      <c r="S110" s="14"/>
    </row>
    <row r="111" spans="1:19" x14ac:dyDescent="0.35">
      <c r="A111">
        <v>10</v>
      </c>
      <c r="B111" s="43" t="s">
        <v>424</v>
      </c>
      <c r="C111" s="135">
        <v>250</v>
      </c>
      <c r="D111" s="217">
        <v>250</v>
      </c>
      <c r="E111" s="217"/>
      <c r="F111" s="255"/>
      <c r="G111" s="304">
        <v>200</v>
      </c>
      <c r="H111" s="304">
        <v>200</v>
      </c>
      <c r="I111" s="319"/>
      <c r="J111" s="303"/>
      <c r="K111" s="348">
        <v>270</v>
      </c>
      <c r="L111" s="341">
        <v>270</v>
      </c>
      <c r="M111" s="341"/>
      <c r="N111" s="332"/>
      <c r="O111" s="218">
        <v>300</v>
      </c>
      <c r="P111" s="218">
        <v>300</v>
      </c>
      <c r="Q111" s="218"/>
      <c r="R111" s="352"/>
      <c r="S111" s="14"/>
    </row>
    <row r="112" spans="1:19" x14ac:dyDescent="0.35">
      <c r="A112">
        <v>11</v>
      </c>
      <c r="B112" s="43" t="s">
        <v>419</v>
      </c>
      <c r="C112" s="135">
        <v>250</v>
      </c>
      <c r="D112" s="255"/>
      <c r="E112" s="217">
        <v>250</v>
      </c>
      <c r="F112" s="255"/>
      <c r="G112" s="304">
        <v>200</v>
      </c>
      <c r="H112" s="302"/>
      <c r="I112" s="319">
        <v>200</v>
      </c>
      <c r="J112" s="303"/>
      <c r="K112" s="348">
        <v>270</v>
      </c>
      <c r="L112" s="332"/>
      <c r="M112" s="341">
        <v>270</v>
      </c>
      <c r="N112" s="332"/>
      <c r="O112" s="218">
        <v>300</v>
      </c>
      <c r="P112" s="218">
        <v>300</v>
      </c>
      <c r="Q112" s="218"/>
      <c r="R112" s="352"/>
      <c r="S112" s="14"/>
    </row>
    <row r="113" spans="1:19" x14ac:dyDescent="0.35">
      <c r="A113">
        <v>12</v>
      </c>
      <c r="B113" s="43" t="s">
        <v>303</v>
      </c>
      <c r="C113" s="135">
        <v>250</v>
      </c>
      <c r="D113" s="217">
        <v>250</v>
      </c>
      <c r="E113" s="217">
        <v>0</v>
      </c>
      <c r="F113" s="255"/>
      <c r="G113" s="304">
        <v>200</v>
      </c>
      <c r="H113" s="304">
        <v>200</v>
      </c>
      <c r="I113" s="319">
        <v>0</v>
      </c>
      <c r="J113" s="303"/>
      <c r="K113" s="348">
        <v>270</v>
      </c>
      <c r="L113" s="341">
        <v>270</v>
      </c>
      <c r="M113" s="341">
        <v>0</v>
      </c>
      <c r="N113" s="332"/>
      <c r="O113" s="218"/>
      <c r="P113" s="352" t="s">
        <v>367</v>
      </c>
      <c r="Q113" s="218"/>
      <c r="R113" s="352"/>
      <c r="S113" s="14"/>
    </row>
    <row r="114" spans="1:19" x14ac:dyDescent="0.35">
      <c r="A114">
        <v>13</v>
      </c>
      <c r="B114" s="43" t="s">
        <v>304</v>
      </c>
      <c r="C114" s="135">
        <v>250</v>
      </c>
      <c r="D114" s="217">
        <v>250</v>
      </c>
      <c r="E114" s="217">
        <v>0</v>
      </c>
      <c r="F114" s="255"/>
      <c r="G114" s="304">
        <v>200</v>
      </c>
      <c r="H114" s="304">
        <v>200</v>
      </c>
      <c r="I114" s="319">
        <v>0</v>
      </c>
      <c r="J114" s="303"/>
      <c r="K114" s="348">
        <v>270</v>
      </c>
      <c r="L114" s="341">
        <v>270</v>
      </c>
      <c r="M114" s="341">
        <v>0</v>
      </c>
      <c r="N114" s="332"/>
      <c r="O114" s="218">
        <v>300</v>
      </c>
      <c r="P114" s="352"/>
      <c r="Q114" s="218">
        <v>300</v>
      </c>
      <c r="R114" s="352"/>
      <c r="S114" s="14"/>
    </row>
    <row r="115" spans="1:19" x14ac:dyDescent="0.35">
      <c r="A115">
        <v>14</v>
      </c>
      <c r="B115" s="43" t="s">
        <v>305</v>
      </c>
      <c r="C115" s="135">
        <v>250</v>
      </c>
      <c r="D115" s="255"/>
      <c r="E115" s="217">
        <v>250</v>
      </c>
      <c r="F115" s="255"/>
      <c r="G115" s="304">
        <v>200</v>
      </c>
      <c r="H115" s="302"/>
      <c r="I115" s="319">
        <v>200</v>
      </c>
      <c r="J115" s="303"/>
      <c r="K115" s="348">
        <v>270</v>
      </c>
      <c r="L115" s="332"/>
      <c r="M115" s="341">
        <v>270</v>
      </c>
      <c r="N115" s="332"/>
      <c r="O115" s="218">
        <v>300</v>
      </c>
      <c r="P115" s="352"/>
      <c r="Q115" s="218">
        <v>300</v>
      </c>
      <c r="R115" s="352"/>
      <c r="S115" s="14"/>
    </row>
    <row r="116" spans="1:19" x14ac:dyDescent="0.35">
      <c r="A116">
        <v>15</v>
      </c>
      <c r="B116" s="43" t="s">
        <v>132</v>
      </c>
      <c r="C116" s="135">
        <v>250</v>
      </c>
      <c r="D116" s="255"/>
      <c r="E116" s="217">
        <v>250</v>
      </c>
      <c r="F116" s="255"/>
      <c r="G116" s="304">
        <v>200</v>
      </c>
      <c r="H116" s="302"/>
      <c r="I116" s="319">
        <v>200</v>
      </c>
      <c r="J116" s="303"/>
      <c r="K116" s="348">
        <v>270</v>
      </c>
      <c r="L116" s="332"/>
      <c r="M116" s="341">
        <v>270</v>
      </c>
      <c r="N116" s="332"/>
      <c r="O116" s="218">
        <v>300</v>
      </c>
      <c r="P116" s="352"/>
      <c r="Q116" s="218">
        <v>300</v>
      </c>
      <c r="R116" s="352"/>
      <c r="S116" s="14"/>
    </row>
    <row r="117" spans="1:19" x14ac:dyDescent="0.35">
      <c r="A117">
        <v>16</v>
      </c>
      <c r="B117" s="43" t="s">
        <v>306</v>
      </c>
      <c r="C117" s="135">
        <v>250</v>
      </c>
      <c r="D117" s="255"/>
      <c r="E117" s="217">
        <v>250</v>
      </c>
      <c r="F117" s="255"/>
      <c r="G117" s="304">
        <v>200</v>
      </c>
      <c r="H117" s="302"/>
      <c r="I117" s="319">
        <v>200</v>
      </c>
      <c r="J117" s="303"/>
      <c r="K117" s="348">
        <v>270</v>
      </c>
      <c r="L117" s="332"/>
      <c r="M117" s="341">
        <v>270</v>
      </c>
      <c r="N117" s="332"/>
      <c r="O117" s="218">
        <v>300</v>
      </c>
      <c r="P117" s="352"/>
      <c r="Q117" s="218">
        <v>300</v>
      </c>
      <c r="R117" s="352"/>
      <c r="S117" s="14"/>
    </row>
    <row r="118" spans="1:19" x14ac:dyDescent="0.35">
      <c r="A118">
        <v>17</v>
      </c>
      <c r="B118" s="43" t="s">
        <v>420</v>
      </c>
      <c r="C118" s="135">
        <v>250</v>
      </c>
      <c r="D118" s="255"/>
      <c r="E118" s="217">
        <v>250</v>
      </c>
      <c r="F118" s="255"/>
      <c r="G118" s="304">
        <v>200</v>
      </c>
      <c r="H118" s="304">
        <v>200</v>
      </c>
      <c r="I118" s="319">
        <v>0</v>
      </c>
      <c r="J118" s="303"/>
      <c r="K118" s="348">
        <v>270</v>
      </c>
      <c r="L118" s="341">
        <v>270</v>
      </c>
      <c r="M118" s="341"/>
      <c r="N118" s="332"/>
      <c r="O118" s="218">
        <v>300</v>
      </c>
      <c r="P118" s="352"/>
      <c r="Q118" s="218">
        <v>300</v>
      </c>
      <c r="R118" s="352"/>
      <c r="S118" s="14"/>
    </row>
    <row r="119" spans="1:19" x14ac:dyDescent="0.35">
      <c r="A119">
        <v>18</v>
      </c>
      <c r="B119" s="43" t="s">
        <v>423</v>
      </c>
      <c r="C119" s="135">
        <v>250</v>
      </c>
      <c r="D119" s="217">
        <v>250</v>
      </c>
      <c r="E119" s="217"/>
      <c r="F119" s="255"/>
      <c r="G119" s="304">
        <v>200</v>
      </c>
      <c r="H119" s="304">
        <v>200</v>
      </c>
      <c r="I119" s="319"/>
      <c r="J119" s="303"/>
      <c r="K119" s="348">
        <v>270</v>
      </c>
      <c r="L119" s="341">
        <v>270</v>
      </c>
      <c r="M119" s="341"/>
      <c r="N119" s="332"/>
      <c r="O119" s="218"/>
      <c r="P119" s="352" t="s">
        <v>367</v>
      </c>
      <c r="Q119" s="218"/>
      <c r="R119" s="352"/>
      <c r="S119" s="14"/>
    </row>
    <row r="120" spans="1:19" s="239" customFormat="1" x14ac:dyDescent="0.35">
      <c r="B120" s="238"/>
      <c r="C120" s="135"/>
      <c r="D120" s="275">
        <f>SUM(D102:D119)</f>
        <v>2250</v>
      </c>
      <c r="E120" s="276">
        <f>SUM(E102:E119)</f>
        <v>2250</v>
      </c>
      <c r="F120" s="255"/>
      <c r="G120" s="302"/>
      <c r="H120" s="305">
        <f>SUM(H102:H119)</f>
        <v>2000</v>
      </c>
      <c r="I120" s="306">
        <f>SUM(I102:I119)</f>
        <v>1600</v>
      </c>
      <c r="J120" s="303"/>
      <c r="K120" s="331"/>
      <c r="L120" s="341">
        <f>SUM(L102:L119)</f>
        <v>2430</v>
      </c>
      <c r="M120" s="347">
        <f>SUM(M102:M119)</f>
        <v>2430</v>
      </c>
      <c r="N120" s="332"/>
      <c r="O120" s="352"/>
      <c r="P120" s="353">
        <f>SUM(P102:P119)</f>
        <v>1500</v>
      </c>
      <c r="Q120" s="356">
        <f>SUM(Q102:Q119)</f>
        <v>2400</v>
      </c>
      <c r="R120" s="352"/>
      <c r="S120" s="238"/>
    </row>
    <row r="121" spans="1:19" x14ac:dyDescent="0.35">
      <c r="B121" s="22" t="s">
        <v>29</v>
      </c>
      <c r="C121" s="271"/>
      <c r="D121" s="255"/>
      <c r="E121" s="255"/>
      <c r="F121" s="255"/>
      <c r="G121" s="302"/>
      <c r="H121" s="302"/>
      <c r="I121" s="303"/>
      <c r="J121" s="303"/>
      <c r="K121" s="331"/>
      <c r="L121" s="332"/>
      <c r="M121" s="332"/>
      <c r="N121" s="332"/>
      <c r="O121" s="357"/>
      <c r="P121" s="357"/>
      <c r="Q121" s="357"/>
      <c r="R121" s="357"/>
      <c r="S121" s="156"/>
    </row>
    <row r="122" spans="1:19" x14ac:dyDescent="0.35">
      <c r="A122">
        <v>1</v>
      </c>
      <c r="B122" s="43" t="s">
        <v>320</v>
      </c>
      <c r="C122" s="135">
        <v>250</v>
      </c>
      <c r="D122" s="217">
        <v>250</v>
      </c>
      <c r="E122" s="217">
        <v>0</v>
      </c>
      <c r="F122" s="255"/>
      <c r="G122" s="304">
        <v>200</v>
      </c>
      <c r="H122" s="304">
        <v>200</v>
      </c>
      <c r="I122" s="319">
        <v>0</v>
      </c>
      <c r="J122" s="303"/>
      <c r="K122" s="348">
        <v>270</v>
      </c>
      <c r="L122" s="341">
        <v>270</v>
      </c>
      <c r="M122" s="341">
        <v>0</v>
      </c>
      <c r="N122" s="332"/>
      <c r="O122" s="218">
        <v>300</v>
      </c>
      <c r="P122" s="218">
        <v>300</v>
      </c>
      <c r="Q122" s="218">
        <v>0</v>
      </c>
      <c r="R122" s="352"/>
      <c r="S122" s="14"/>
    </row>
    <row r="123" spans="1:19" x14ac:dyDescent="0.35">
      <c r="A123">
        <v>2</v>
      </c>
      <c r="B123" s="43" t="s">
        <v>336</v>
      </c>
      <c r="C123" s="135">
        <v>250</v>
      </c>
      <c r="D123" s="217">
        <v>250</v>
      </c>
      <c r="E123" s="217">
        <v>0</v>
      </c>
      <c r="F123" s="255"/>
      <c r="G123" s="304">
        <v>200</v>
      </c>
      <c r="H123" s="304">
        <v>200</v>
      </c>
      <c r="I123" s="319">
        <v>0</v>
      </c>
      <c r="J123" s="303"/>
      <c r="K123" s="348">
        <v>270</v>
      </c>
      <c r="L123" s="341">
        <v>270</v>
      </c>
      <c r="M123" s="341">
        <v>0</v>
      </c>
      <c r="N123" s="332"/>
      <c r="O123" s="218"/>
      <c r="P123" s="352"/>
      <c r="Q123" s="218"/>
      <c r="R123" s="352"/>
      <c r="S123" s="14"/>
    </row>
    <row r="124" spans="1:19" x14ac:dyDescent="0.35">
      <c r="A124">
        <v>3</v>
      </c>
      <c r="B124" s="43" t="s">
        <v>337</v>
      </c>
      <c r="C124" s="135">
        <v>250</v>
      </c>
      <c r="D124" s="217">
        <v>250</v>
      </c>
      <c r="E124" s="217">
        <v>0</v>
      </c>
      <c r="F124" s="255"/>
      <c r="G124" s="304">
        <v>200</v>
      </c>
      <c r="H124" s="304">
        <v>200</v>
      </c>
      <c r="I124" s="319">
        <v>0</v>
      </c>
      <c r="J124" s="303"/>
      <c r="K124" s="348">
        <v>270</v>
      </c>
      <c r="L124" s="332"/>
      <c r="M124" s="341">
        <v>270</v>
      </c>
      <c r="N124" s="332"/>
      <c r="O124" s="218">
        <v>300</v>
      </c>
      <c r="P124" s="352"/>
      <c r="Q124" s="218">
        <v>300</v>
      </c>
      <c r="R124" s="352"/>
      <c r="S124" s="14"/>
    </row>
    <row r="125" spans="1:19" x14ac:dyDescent="0.35">
      <c r="A125">
        <v>4</v>
      </c>
      <c r="B125" s="43" t="s">
        <v>127</v>
      </c>
      <c r="C125" s="135">
        <v>250</v>
      </c>
      <c r="D125" s="255"/>
      <c r="E125" s="217">
        <v>250</v>
      </c>
      <c r="F125" s="255"/>
      <c r="G125" s="304">
        <v>200</v>
      </c>
      <c r="H125" s="302"/>
      <c r="I125" s="319">
        <v>200</v>
      </c>
      <c r="J125" s="303"/>
      <c r="K125" s="348">
        <v>270</v>
      </c>
      <c r="L125" s="332"/>
      <c r="M125" s="341">
        <v>270</v>
      </c>
      <c r="N125" s="332"/>
      <c r="O125" s="218">
        <v>300</v>
      </c>
      <c r="P125" s="352"/>
      <c r="Q125" s="218">
        <v>300</v>
      </c>
      <c r="R125" s="352"/>
      <c r="S125" s="14"/>
    </row>
    <row r="126" spans="1:19" x14ac:dyDescent="0.35">
      <c r="A126">
        <v>5</v>
      </c>
      <c r="B126" s="43" t="s">
        <v>343</v>
      </c>
      <c r="C126" s="135">
        <v>250</v>
      </c>
      <c r="D126" s="217">
        <v>250</v>
      </c>
      <c r="E126" s="217">
        <v>0</v>
      </c>
      <c r="F126" s="255"/>
      <c r="G126" s="304">
        <v>200</v>
      </c>
      <c r="H126" s="304">
        <v>200</v>
      </c>
      <c r="I126" s="319">
        <v>0</v>
      </c>
      <c r="J126" s="303"/>
      <c r="K126" s="348">
        <v>270</v>
      </c>
      <c r="L126" s="341">
        <v>270</v>
      </c>
      <c r="M126" s="341">
        <v>270</v>
      </c>
      <c r="N126" s="332"/>
      <c r="O126" s="218"/>
      <c r="P126" s="352" t="s">
        <v>427</v>
      </c>
      <c r="Q126" s="218"/>
      <c r="R126" s="352"/>
      <c r="S126" s="14"/>
    </row>
    <row r="127" spans="1:19" x14ac:dyDescent="0.35">
      <c r="A127">
        <v>6</v>
      </c>
      <c r="B127" s="43" t="s">
        <v>444</v>
      </c>
      <c r="C127" s="135">
        <v>250</v>
      </c>
      <c r="D127" s="217">
        <v>250</v>
      </c>
      <c r="E127" s="217"/>
      <c r="F127" s="255"/>
      <c r="G127" s="304">
        <v>200</v>
      </c>
      <c r="H127" s="304"/>
      <c r="I127" s="319">
        <v>200</v>
      </c>
      <c r="J127" s="303"/>
      <c r="K127" s="348">
        <v>270</v>
      </c>
      <c r="L127" s="341"/>
      <c r="M127" s="341">
        <v>270</v>
      </c>
      <c r="N127" s="332"/>
      <c r="O127" s="218"/>
      <c r="P127" s="352" t="s">
        <v>427</v>
      </c>
      <c r="Q127" s="218"/>
      <c r="R127" s="352"/>
      <c r="S127" s="14"/>
    </row>
    <row r="128" spans="1:19" x14ac:dyDescent="0.35">
      <c r="A128">
        <v>7</v>
      </c>
      <c r="B128" s="43" t="s">
        <v>445</v>
      </c>
      <c r="C128" s="135">
        <v>250</v>
      </c>
      <c r="D128" s="217"/>
      <c r="E128" s="217">
        <v>250</v>
      </c>
      <c r="F128" s="255"/>
      <c r="G128" s="304">
        <v>200</v>
      </c>
      <c r="H128" s="304"/>
      <c r="I128" s="319">
        <v>200</v>
      </c>
      <c r="J128" s="303"/>
      <c r="K128" s="348">
        <v>270</v>
      </c>
      <c r="L128" s="341"/>
      <c r="M128" s="341">
        <v>270</v>
      </c>
      <c r="N128" s="332"/>
      <c r="O128" s="218">
        <v>300</v>
      </c>
      <c r="P128" s="352"/>
      <c r="Q128" s="218">
        <v>300</v>
      </c>
      <c r="R128" s="352"/>
      <c r="S128" s="14"/>
    </row>
    <row r="129" spans="1:19" x14ac:dyDescent="0.35">
      <c r="A129">
        <v>8</v>
      </c>
      <c r="B129" s="43" t="s">
        <v>447</v>
      </c>
      <c r="C129" s="135">
        <v>250</v>
      </c>
      <c r="D129" s="217"/>
      <c r="E129" s="217">
        <v>250</v>
      </c>
      <c r="F129" s="255"/>
      <c r="G129" s="304">
        <v>200</v>
      </c>
      <c r="H129" s="304"/>
      <c r="I129" s="319">
        <v>200</v>
      </c>
      <c r="J129" s="303"/>
      <c r="K129" s="348">
        <v>270</v>
      </c>
      <c r="L129" s="341"/>
      <c r="M129" s="341">
        <v>270</v>
      </c>
      <c r="N129" s="332"/>
      <c r="O129" s="218">
        <v>300</v>
      </c>
      <c r="P129" s="352"/>
      <c r="Q129" s="218">
        <v>300</v>
      </c>
      <c r="R129" s="352"/>
      <c r="S129" s="14"/>
    </row>
    <row r="130" spans="1:19" x14ac:dyDescent="0.35">
      <c r="A130">
        <v>9</v>
      </c>
      <c r="B130" s="43" t="s">
        <v>338</v>
      </c>
      <c r="C130" s="135">
        <v>250</v>
      </c>
      <c r="D130" s="217">
        <v>250</v>
      </c>
      <c r="E130" s="217">
        <v>0</v>
      </c>
      <c r="F130" s="255"/>
      <c r="G130" s="304">
        <v>200</v>
      </c>
      <c r="H130" s="304">
        <v>200</v>
      </c>
      <c r="I130" s="319">
        <v>0</v>
      </c>
      <c r="J130" s="303"/>
      <c r="K130" s="348">
        <v>270</v>
      </c>
      <c r="L130" s="341">
        <v>270</v>
      </c>
      <c r="M130" s="341">
        <v>0</v>
      </c>
      <c r="N130" s="332"/>
      <c r="O130" s="218">
        <v>300</v>
      </c>
      <c r="P130" s="352"/>
      <c r="Q130" s="218">
        <v>300</v>
      </c>
      <c r="R130" s="352"/>
      <c r="S130" s="14"/>
    </row>
    <row r="131" spans="1:19" x14ac:dyDescent="0.35">
      <c r="A131">
        <v>10</v>
      </c>
      <c r="B131" s="43" t="s">
        <v>339</v>
      </c>
      <c r="C131" s="135">
        <v>250</v>
      </c>
      <c r="D131" s="255">
        <v>250</v>
      </c>
      <c r="E131" s="217"/>
      <c r="F131" s="255"/>
      <c r="G131" s="304">
        <v>200</v>
      </c>
      <c r="H131" s="302">
        <v>200</v>
      </c>
      <c r="I131" s="319"/>
      <c r="J131" s="303"/>
      <c r="K131" s="348">
        <v>270</v>
      </c>
      <c r="L131" s="332">
        <v>270</v>
      </c>
      <c r="M131" s="341"/>
      <c r="N131" s="332"/>
      <c r="O131" s="218"/>
      <c r="P131" s="352" t="s">
        <v>427</v>
      </c>
      <c r="Q131" s="218"/>
      <c r="R131" s="352"/>
      <c r="S131" s="14"/>
    </row>
    <row r="132" spans="1:19" x14ac:dyDescent="0.35">
      <c r="A132">
        <v>11</v>
      </c>
      <c r="B132" s="43" t="s">
        <v>340</v>
      </c>
      <c r="C132" s="135">
        <v>250</v>
      </c>
      <c r="D132" s="255"/>
      <c r="E132" s="217">
        <v>250</v>
      </c>
      <c r="F132" s="255"/>
      <c r="G132" s="304">
        <v>200</v>
      </c>
      <c r="H132" s="302"/>
      <c r="I132" s="319">
        <v>200</v>
      </c>
      <c r="J132" s="303"/>
      <c r="K132" s="348">
        <v>270</v>
      </c>
      <c r="L132" s="332"/>
      <c r="M132" s="341">
        <v>270</v>
      </c>
      <c r="N132" s="332"/>
      <c r="O132" s="218">
        <v>300</v>
      </c>
      <c r="P132" s="352"/>
      <c r="Q132" s="218">
        <v>300</v>
      </c>
      <c r="R132" s="352"/>
      <c r="S132" s="14"/>
    </row>
    <row r="133" spans="1:19" x14ac:dyDescent="0.35">
      <c r="A133">
        <v>12</v>
      </c>
      <c r="B133" s="43" t="s">
        <v>341</v>
      </c>
      <c r="C133" s="135">
        <v>250</v>
      </c>
      <c r="D133" s="217">
        <v>250</v>
      </c>
      <c r="E133" s="217">
        <v>0</v>
      </c>
      <c r="F133" s="255"/>
      <c r="G133" s="304">
        <v>200</v>
      </c>
      <c r="H133" s="304">
        <v>200</v>
      </c>
      <c r="I133" s="319">
        <v>200</v>
      </c>
      <c r="J133" s="303"/>
      <c r="K133" s="348">
        <v>270</v>
      </c>
      <c r="L133" s="341">
        <v>0</v>
      </c>
      <c r="M133" s="341">
        <v>270</v>
      </c>
      <c r="N133" s="332"/>
      <c r="O133" s="218">
        <v>300</v>
      </c>
      <c r="P133" s="352"/>
      <c r="Q133" s="218">
        <v>300</v>
      </c>
      <c r="R133" s="352"/>
      <c r="S133" s="14"/>
    </row>
    <row r="134" spans="1:19" x14ac:dyDescent="0.35">
      <c r="A134">
        <v>13</v>
      </c>
      <c r="B134" s="43" t="s">
        <v>156</v>
      </c>
      <c r="C134" s="135">
        <v>250</v>
      </c>
      <c r="D134" s="217">
        <v>250</v>
      </c>
      <c r="E134" s="217">
        <v>0</v>
      </c>
      <c r="F134" s="255"/>
      <c r="G134" s="304">
        <v>200</v>
      </c>
      <c r="H134" s="302"/>
      <c r="I134" s="319">
        <v>200</v>
      </c>
      <c r="J134" s="303"/>
      <c r="K134" s="348">
        <v>270</v>
      </c>
      <c r="L134" s="332"/>
      <c r="M134" s="341">
        <v>270</v>
      </c>
      <c r="N134" s="332"/>
      <c r="O134" s="218"/>
      <c r="P134" s="352"/>
      <c r="Q134" s="218"/>
      <c r="R134" s="352"/>
      <c r="S134" s="14"/>
    </row>
    <row r="135" spans="1:19" x14ac:dyDescent="0.35">
      <c r="A135">
        <v>14</v>
      </c>
      <c r="B135" s="43" t="s">
        <v>342</v>
      </c>
      <c r="C135" s="135">
        <v>250</v>
      </c>
      <c r="D135" s="255"/>
      <c r="E135" s="217">
        <v>250</v>
      </c>
      <c r="F135" s="255"/>
      <c r="G135" s="304">
        <v>200</v>
      </c>
      <c r="H135" s="302"/>
      <c r="I135" s="319">
        <v>200</v>
      </c>
      <c r="J135" s="303"/>
      <c r="K135" s="348">
        <v>270</v>
      </c>
      <c r="L135" s="332"/>
      <c r="M135" s="341">
        <v>270</v>
      </c>
      <c r="N135" s="332"/>
      <c r="O135" s="218">
        <v>300</v>
      </c>
      <c r="P135" s="352"/>
      <c r="Q135" s="218">
        <v>300</v>
      </c>
      <c r="R135" s="352"/>
      <c r="S135" s="14"/>
    </row>
    <row r="136" spans="1:19" s="239" customFormat="1" ht="15" thickBot="1" x14ac:dyDescent="0.4">
      <c r="B136" s="238"/>
      <c r="C136" s="282"/>
      <c r="D136" s="275">
        <f>SUM(D122:D135)</f>
        <v>2250</v>
      </c>
      <c r="E136" s="276">
        <f>SUM(E122:E135)</f>
        <v>1250</v>
      </c>
      <c r="F136" s="255"/>
      <c r="G136" s="302"/>
      <c r="H136" s="305">
        <f>SUM(H122:H135)</f>
        <v>1400</v>
      </c>
      <c r="I136" s="306">
        <f>SUM(I122:I135)</f>
        <v>1600</v>
      </c>
      <c r="J136" s="303"/>
      <c r="K136" s="331"/>
      <c r="L136" s="341">
        <f>SUM(L122:L135)</f>
        <v>1350</v>
      </c>
      <c r="M136" s="347">
        <f>SUM(M122:M135)</f>
        <v>2700</v>
      </c>
      <c r="N136" s="341"/>
      <c r="O136" s="358"/>
      <c r="P136" s="353">
        <f>SUM(P122:P135)</f>
        <v>300</v>
      </c>
      <c r="Q136" s="356">
        <f>SUM(Q122:Q135)</f>
        <v>2400</v>
      </c>
      <c r="R136" s="352"/>
      <c r="S136" s="238"/>
    </row>
    <row r="137" spans="1:19" ht="15" thickBot="1" x14ac:dyDescent="0.4">
      <c r="B137" s="70" t="s">
        <v>30</v>
      </c>
      <c r="C137" s="76"/>
      <c r="D137" s="75"/>
      <c r="E137" s="75"/>
      <c r="F137" s="75"/>
      <c r="G137" s="313"/>
      <c r="H137" s="313"/>
      <c r="I137" s="314"/>
      <c r="J137" s="314"/>
      <c r="K137" s="337"/>
      <c r="L137" s="338"/>
      <c r="M137" s="338"/>
      <c r="N137" s="338"/>
      <c r="O137" s="159"/>
      <c r="P137" s="159"/>
      <c r="Q137" s="159"/>
      <c r="R137" s="159"/>
      <c r="S137" s="157"/>
    </row>
    <row r="138" spans="1:19" x14ac:dyDescent="0.35">
      <c r="A138">
        <v>1</v>
      </c>
      <c r="B138" s="58" t="s">
        <v>405</v>
      </c>
      <c r="C138" s="271">
        <v>250</v>
      </c>
      <c r="D138" s="278"/>
      <c r="E138" s="279">
        <v>0</v>
      </c>
      <c r="F138" s="278"/>
      <c r="G138" s="309">
        <v>200</v>
      </c>
      <c r="H138" s="310"/>
      <c r="I138" s="311">
        <v>200</v>
      </c>
      <c r="J138" s="312"/>
      <c r="K138" s="339">
        <v>270</v>
      </c>
      <c r="L138" s="336">
        <v>270</v>
      </c>
      <c r="M138" s="336">
        <v>0</v>
      </c>
      <c r="N138" s="345"/>
      <c r="O138" s="218">
        <v>0</v>
      </c>
      <c r="P138" s="352"/>
      <c r="Q138" s="218">
        <v>0</v>
      </c>
      <c r="R138" s="352"/>
      <c r="S138" s="14"/>
    </row>
    <row r="139" spans="1:19" x14ac:dyDescent="0.35">
      <c r="A139">
        <v>2</v>
      </c>
      <c r="B139" s="43" t="s">
        <v>121</v>
      </c>
      <c r="C139" s="271">
        <v>250</v>
      </c>
      <c r="D139" s="217">
        <v>250</v>
      </c>
      <c r="E139" s="279">
        <v>0</v>
      </c>
      <c r="F139" s="255"/>
      <c r="G139" s="309">
        <v>200</v>
      </c>
      <c r="H139" s="304">
        <v>200</v>
      </c>
      <c r="I139" s="311">
        <v>0</v>
      </c>
      <c r="J139" s="303"/>
      <c r="K139" s="339">
        <v>270</v>
      </c>
      <c r="L139" s="341">
        <f t="shared" ref="L139:L141" si="1">SUM(K139)</f>
        <v>270</v>
      </c>
      <c r="M139" s="336">
        <v>0</v>
      </c>
      <c r="N139" s="345"/>
      <c r="O139" s="218"/>
      <c r="P139" s="352"/>
      <c r="Q139" s="218"/>
      <c r="R139" s="352"/>
      <c r="S139" s="14"/>
    </row>
    <row r="140" spans="1:19" x14ac:dyDescent="0.35">
      <c r="A140">
        <v>3</v>
      </c>
      <c r="B140" s="43" t="s">
        <v>406</v>
      </c>
      <c r="C140" s="271">
        <v>250</v>
      </c>
      <c r="D140" s="217">
        <v>250</v>
      </c>
      <c r="E140" s="279">
        <v>0</v>
      </c>
      <c r="F140" s="255"/>
      <c r="G140" s="309">
        <v>200</v>
      </c>
      <c r="H140" s="302"/>
      <c r="I140" s="311">
        <v>200</v>
      </c>
      <c r="J140" s="303"/>
      <c r="K140" s="339">
        <v>270</v>
      </c>
      <c r="L140" s="332"/>
      <c r="M140" s="336">
        <v>270</v>
      </c>
      <c r="N140" s="345"/>
      <c r="O140" s="218">
        <v>300</v>
      </c>
      <c r="P140" s="352"/>
      <c r="Q140" s="218">
        <v>300</v>
      </c>
      <c r="R140" s="352"/>
      <c r="S140" s="14"/>
    </row>
    <row r="141" spans="1:19" x14ac:dyDescent="0.35">
      <c r="A141">
        <v>4</v>
      </c>
      <c r="B141" s="43" t="s">
        <v>421</v>
      </c>
      <c r="C141" s="271">
        <v>250</v>
      </c>
      <c r="D141" s="217">
        <v>250</v>
      </c>
      <c r="E141" s="279">
        <v>0</v>
      </c>
      <c r="F141" s="255"/>
      <c r="G141" s="309">
        <v>200</v>
      </c>
      <c r="H141" s="304">
        <v>200</v>
      </c>
      <c r="I141" s="311">
        <v>0</v>
      </c>
      <c r="J141" s="303"/>
      <c r="K141" s="339">
        <v>270</v>
      </c>
      <c r="L141" s="341">
        <f t="shared" si="1"/>
        <v>270</v>
      </c>
      <c r="M141" s="336">
        <v>0</v>
      </c>
      <c r="N141" s="345"/>
      <c r="O141" s="218">
        <v>300</v>
      </c>
      <c r="P141" s="218">
        <v>300</v>
      </c>
      <c r="Q141" s="218">
        <v>0</v>
      </c>
      <c r="R141" s="352"/>
      <c r="S141" s="14"/>
    </row>
    <row r="142" spans="1:19" x14ac:dyDescent="0.35">
      <c r="A142">
        <v>5</v>
      </c>
      <c r="B142" s="43" t="s">
        <v>407</v>
      </c>
      <c r="C142" s="271">
        <v>250</v>
      </c>
      <c r="D142" s="255"/>
      <c r="E142" s="279">
        <v>250</v>
      </c>
      <c r="F142" s="255"/>
      <c r="G142" s="309">
        <v>200</v>
      </c>
      <c r="H142" s="302"/>
      <c r="I142" s="311">
        <v>200</v>
      </c>
      <c r="J142" s="303"/>
      <c r="K142" s="339">
        <v>270</v>
      </c>
      <c r="L142" s="332"/>
      <c r="M142" s="336">
        <v>270</v>
      </c>
      <c r="N142" s="345"/>
      <c r="O142" s="218">
        <v>300</v>
      </c>
      <c r="P142" s="352"/>
      <c r="Q142" s="218">
        <v>300</v>
      </c>
      <c r="R142" s="352"/>
      <c r="S142" s="14"/>
    </row>
    <row r="143" spans="1:19" x14ac:dyDescent="0.35">
      <c r="A143">
        <v>6</v>
      </c>
      <c r="B143" s="43" t="s">
        <v>59</v>
      </c>
      <c r="C143" s="271">
        <v>250</v>
      </c>
      <c r="D143" s="217">
        <v>250</v>
      </c>
      <c r="E143" s="279">
        <v>0</v>
      </c>
      <c r="F143" s="255"/>
      <c r="G143" s="309">
        <v>200</v>
      </c>
      <c r="H143" s="304">
        <v>200</v>
      </c>
      <c r="I143" s="311">
        <v>0</v>
      </c>
      <c r="J143" s="303"/>
      <c r="K143" s="339">
        <v>270</v>
      </c>
      <c r="L143" s="341">
        <v>270</v>
      </c>
      <c r="M143" s="336">
        <v>0</v>
      </c>
      <c r="N143" s="345"/>
      <c r="O143" s="218">
        <v>300</v>
      </c>
      <c r="P143" s="352"/>
      <c r="Q143" s="218">
        <v>300</v>
      </c>
      <c r="R143" s="352"/>
      <c r="S143" s="14"/>
    </row>
    <row r="144" spans="1:19" x14ac:dyDescent="0.35">
      <c r="A144">
        <v>7</v>
      </c>
      <c r="B144" s="43" t="s">
        <v>422</v>
      </c>
      <c r="C144" s="271">
        <v>250</v>
      </c>
      <c r="D144" s="255"/>
      <c r="E144" s="279">
        <v>250</v>
      </c>
      <c r="F144" s="255"/>
      <c r="G144" s="309">
        <v>200</v>
      </c>
      <c r="H144" s="302"/>
      <c r="I144" s="311">
        <v>200</v>
      </c>
      <c r="J144" s="303"/>
      <c r="K144" s="339">
        <v>270</v>
      </c>
      <c r="L144" s="332"/>
      <c r="M144" s="336">
        <v>270</v>
      </c>
      <c r="N144" s="345"/>
      <c r="O144" s="218">
        <v>0</v>
      </c>
      <c r="P144" s="352"/>
      <c r="Q144" s="218">
        <v>0</v>
      </c>
      <c r="R144" s="352"/>
      <c r="S144" s="14"/>
    </row>
    <row r="145" spans="1:19" x14ac:dyDescent="0.35">
      <c r="A145">
        <v>8</v>
      </c>
      <c r="B145" s="43" t="s">
        <v>126</v>
      </c>
      <c r="C145" s="271">
        <v>250</v>
      </c>
      <c r="D145" s="255"/>
      <c r="E145" s="279">
        <v>250</v>
      </c>
      <c r="F145" s="255"/>
      <c r="G145" s="309">
        <v>200</v>
      </c>
      <c r="H145" s="302"/>
      <c r="I145" s="311">
        <v>200</v>
      </c>
      <c r="J145" s="303"/>
      <c r="K145" s="339">
        <v>270</v>
      </c>
      <c r="L145" s="332"/>
      <c r="M145" s="336">
        <v>270</v>
      </c>
      <c r="N145" s="345"/>
      <c r="O145" s="218">
        <v>300</v>
      </c>
      <c r="P145" s="352"/>
      <c r="Q145" s="218">
        <v>300</v>
      </c>
      <c r="R145" s="352"/>
      <c r="S145" s="14"/>
    </row>
    <row r="146" spans="1:19" s="239" customFormat="1" ht="15" thickBot="1" x14ac:dyDescent="0.4">
      <c r="B146" s="238"/>
      <c r="C146" s="274"/>
      <c r="D146" s="275">
        <f>SUM(D138:D145)</f>
        <v>1000</v>
      </c>
      <c r="E146" s="276">
        <f>SUM(E138:E145)</f>
        <v>750</v>
      </c>
      <c r="F146" s="255"/>
      <c r="G146" s="302"/>
      <c r="H146" s="305">
        <f>SUM(H138:H145)</f>
        <v>600</v>
      </c>
      <c r="I146" s="306">
        <f>SUM(I138:I145)</f>
        <v>1000</v>
      </c>
      <c r="J146" s="303"/>
      <c r="K146" s="331"/>
      <c r="L146" s="341">
        <v>810</v>
      </c>
      <c r="M146" s="347">
        <f>SUM(M138:M145)</f>
        <v>1080</v>
      </c>
      <c r="N146" s="332"/>
      <c r="O146" s="352"/>
      <c r="P146" s="353">
        <f>SUM(P138:P145)</f>
        <v>300</v>
      </c>
      <c r="Q146" s="356">
        <f>SUM(Q138:Q145)</f>
        <v>1200</v>
      </c>
      <c r="R146" s="352"/>
      <c r="S146" s="238"/>
    </row>
    <row r="147" spans="1:19" ht="15" thickBot="1" x14ac:dyDescent="0.4">
      <c r="B147" s="74" t="s">
        <v>31</v>
      </c>
      <c r="C147" s="76"/>
      <c r="D147" s="75"/>
      <c r="E147" s="75"/>
      <c r="F147" s="75"/>
      <c r="G147" s="313"/>
      <c r="H147" s="313"/>
      <c r="I147" s="314"/>
      <c r="J147" s="314"/>
      <c r="K147" s="337"/>
      <c r="L147" s="338"/>
      <c r="M147" s="338"/>
      <c r="N147" s="338"/>
      <c r="O147" s="159"/>
      <c r="P147" s="159"/>
      <c r="Q147" s="159"/>
      <c r="R147" s="159"/>
      <c r="S147" s="158"/>
    </row>
    <row r="148" spans="1:19" x14ac:dyDescent="0.35">
      <c r="A148">
        <v>1</v>
      </c>
      <c r="B148" s="58" t="s">
        <v>53</v>
      </c>
      <c r="C148" s="271">
        <v>250</v>
      </c>
      <c r="D148" s="279">
        <v>250</v>
      </c>
      <c r="E148" s="279">
        <v>0</v>
      </c>
      <c r="F148" s="278"/>
      <c r="G148" s="309">
        <v>200</v>
      </c>
      <c r="H148" s="309">
        <v>200</v>
      </c>
      <c r="I148" s="311">
        <v>0</v>
      </c>
      <c r="J148" s="312"/>
      <c r="K148" s="339">
        <v>270</v>
      </c>
      <c r="L148" s="345">
        <v>270</v>
      </c>
      <c r="M148" s="336">
        <v>0</v>
      </c>
      <c r="N148" s="345"/>
      <c r="O148" s="218">
        <v>300</v>
      </c>
      <c r="P148" s="218">
        <v>300</v>
      </c>
      <c r="Q148" s="218"/>
      <c r="R148" s="352"/>
      <c r="S148" s="14"/>
    </row>
    <row r="149" spans="1:19" x14ac:dyDescent="0.35">
      <c r="A149">
        <v>2</v>
      </c>
      <c r="B149" s="43" t="s">
        <v>354</v>
      </c>
      <c r="C149" s="271">
        <v>250</v>
      </c>
      <c r="D149" s="255"/>
      <c r="E149" s="279">
        <v>250</v>
      </c>
      <c r="F149" s="255"/>
      <c r="G149" s="309">
        <v>200</v>
      </c>
      <c r="H149" s="302"/>
      <c r="I149" s="311">
        <v>200</v>
      </c>
      <c r="J149" s="303"/>
      <c r="K149" s="339">
        <v>270</v>
      </c>
      <c r="L149" s="332"/>
      <c r="M149" s="336">
        <v>270</v>
      </c>
      <c r="N149" s="345"/>
      <c r="O149" s="218">
        <v>300</v>
      </c>
      <c r="P149" s="352"/>
      <c r="Q149" s="218">
        <v>300</v>
      </c>
      <c r="R149" s="352"/>
      <c r="S149" s="14"/>
    </row>
    <row r="150" spans="1:19" x14ac:dyDescent="0.35">
      <c r="A150">
        <v>3</v>
      </c>
      <c r="B150" s="43" t="s">
        <v>240</v>
      </c>
      <c r="C150" s="271">
        <v>250</v>
      </c>
      <c r="D150" s="217">
        <v>250</v>
      </c>
      <c r="E150" s="279">
        <v>0</v>
      </c>
      <c r="F150" s="255"/>
      <c r="G150" s="309">
        <v>200</v>
      </c>
      <c r="H150" s="304">
        <v>200</v>
      </c>
      <c r="I150" s="311">
        <v>0</v>
      </c>
      <c r="J150" s="303"/>
      <c r="K150" s="339">
        <v>270</v>
      </c>
      <c r="L150" s="332">
        <v>270</v>
      </c>
      <c r="M150" s="336">
        <v>0</v>
      </c>
      <c r="N150" s="345"/>
      <c r="O150" s="218">
        <v>300</v>
      </c>
      <c r="P150" s="218">
        <v>300</v>
      </c>
      <c r="Q150" s="218"/>
      <c r="R150" s="352"/>
      <c r="S150" s="14"/>
    </row>
    <row r="151" spans="1:19" x14ac:dyDescent="0.35">
      <c r="A151">
        <v>4</v>
      </c>
      <c r="B151" s="43" t="s">
        <v>355</v>
      </c>
      <c r="C151" s="271">
        <v>250</v>
      </c>
      <c r="D151" s="255"/>
      <c r="E151" s="279">
        <v>250</v>
      </c>
      <c r="F151" s="255"/>
      <c r="G151" s="309">
        <v>200</v>
      </c>
      <c r="H151" s="302"/>
      <c r="I151" s="311">
        <v>200</v>
      </c>
      <c r="J151" s="303"/>
      <c r="K151" s="339">
        <v>270</v>
      </c>
      <c r="L151" s="332"/>
      <c r="M151" s="336">
        <v>270</v>
      </c>
      <c r="N151" s="345"/>
      <c r="O151" s="218">
        <v>300</v>
      </c>
      <c r="P151" s="352"/>
      <c r="Q151" s="218">
        <v>300</v>
      </c>
      <c r="R151" s="352"/>
      <c r="S151" s="14"/>
    </row>
    <row r="152" spans="1:19" x14ac:dyDescent="0.35">
      <c r="A152">
        <v>5</v>
      </c>
      <c r="B152" s="43" t="s">
        <v>356</v>
      </c>
      <c r="C152" s="271">
        <v>250</v>
      </c>
      <c r="D152" s="255"/>
      <c r="E152" s="279">
        <v>250</v>
      </c>
      <c r="F152" s="255"/>
      <c r="G152" s="309">
        <v>200</v>
      </c>
      <c r="H152" s="304">
        <v>100</v>
      </c>
      <c r="I152" s="311">
        <v>100</v>
      </c>
      <c r="J152" s="303"/>
      <c r="K152" s="339">
        <v>270</v>
      </c>
      <c r="L152" s="332"/>
      <c r="M152" s="336">
        <v>270</v>
      </c>
      <c r="N152" s="345"/>
      <c r="O152" s="218">
        <v>300</v>
      </c>
      <c r="P152" s="352"/>
      <c r="Q152" s="218">
        <v>300</v>
      </c>
      <c r="R152" s="352"/>
      <c r="S152" s="14"/>
    </row>
    <row r="153" spans="1:19" x14ac:dyDescent="0.35">
      <c r="A153">
        <v>6</v>
      </c>
      <c r="B153" s="43" t="s">
        <v>357</v>
      </c>
      <c r="C153" s="271">
        <v>250</v>
      </c>
      <c r="D153" s="217">
        <v>250</v>
      </c>
      <c r="E153" s="279">
        <v>0</v>
      </c>
      <c r="F153" s="255"/>
      <c r="G153" s="309">
        <v>200</v>
      </c>
      <c r="H153" s="304">
        <v>200</v>
      </c>
      <c r="I153" s="311">
        <v>0</v>
      </c>
      <c r="J153" s="303"/>
      <c r="K153" s="339">
        <v>270</v>
      </c>
      <c r="L153" s="332">
        <v>270</v>
      </c>
      <c r="M153" s="336">
        <v>0</v>
      </c>
      <c r="N153" s="345"/>
      <c r="O153" s="218">
        <v>300</v>
      </c>
      <c r="P153" s="218">
        <v>300</v>
      </c>
      <c r="Q153" s="218">
        <v>0</v>
      </c>
      <c r="R153" s="352"/>
      <c r="S153" s="14"/>
    </row>
    <row r="154" spans="1:19" x14ac:dyDescent="0.35">
      <c r="A154">
        <v>7</v>
      </c>
      <c r="B154" s="43" t="s">
        <v>358</v>
      </c>
      <c r="C154" s="271">
        <v>250</v>
      </c>
      <c r="D154" s="217">
        <v>250</v>
      </c>
      <c r="E154" s="279">
        <v>0</v>
      </c>
      <c r="F154" s="255"/>
      <c r="G154" s="309">
        <v>200</v>
      </c>
      <c r="H154" s="304">
        <v>200</v>
      </c>
      <c r="I154" s="311">
        <v>0</v>
      </c>
      <c r="J154" s="303"/>
      <c r="K154" s="339">
        <v>270</v>
      </c>
      <c r="L154" s="332">
        <v>270</v>
      </c>
      <c r="M154" s="336">
        <v>0</v>
      </c>
      <c r="N154" s="345"/>
      <c r="O154" s="218">
        <v>300</v>
      </c>
      <c r="P154" s="352"/>
      <c r="Q154" s="218">
        <v>300</v>
      </c>
      <c r="R154" s="352"/>
      <c r="S154" s="14"/>
    </row>
    <row r="155" spans="1:19" x14ac:dyDescent="0.35">
      <c r="A155">
        <v>8</v>
      </c>
      <c r="B155" s="43" t="s">
        <v>359</v>
      </c>
      <c r="C155" s="271">
        <v>250</v>
      </c>
      <c r="D155" s="255"/>
      <c r="E155" s="279">
        <v>250</v>
      </c>
      <c r="F155" s="255"/>
      <c r="G155" s="309">
        <v>200</v>
      </c>
      <c r="H155" s="302"/>
      <c r="I155" s="311">
        <v>200</v>
      </c>
      <c r="J155" s="303"/>
      <c r="K155" s="339">
        <v>270</v>
      </c>
      <c r="L155" s="340"/>
      <c r="M155" s="336">
        <v>270</v>
      </c>
      <c r="N155" s="345"/>
      <c r="O155" s="218">
        <v>300</v>
      </c>
      <c r="P155" s="352"/>
      <c r="Q155" s="218">
        <v>300</v>
      </c>
      <c r="R155" s="352"/>
      <c r="S155" s="14"/>
    </row>
    <row r="156" spans="1:19" x14ac:dyDescent="0.35">
      <c r="A156">
        <v>9</v>
      </c>
      <c r="B156" s="43" t="s">
        <v>200</v>
      </c>
      <c r="C156" s="271">
        <v>250</v>
      </c>
      <c r="D156" s="217">
        <v>250</v>
      </c>
      <c r="E156" s="279">
        <v>0</v>
      </c>
      <c r="F156" s="255"/>
      <c r="G156" s="309">
        <v>200</v>
      </c>
      <c r="H156" s="304">
        <v>200</v>
      </c>
      <c r="I156" s="311">
        <v>0</v>
      </c>
      <c r="J156" s="303"/>
      <c r="K156" s="339">
        <v>270</v>
      </c>
      <c r="L156" s="332">
        <v>270</v>
      </c>
      <c r="M156" s="336">
        <v>0</v>
      </c>
      <c r="N156" s="345"/>
      <c r="O156" s="218"/>
      <c r="P156" s="352" t="s">
        <v>367</v>
      </c>
      <c r="Q156" s="218"/>
      <c r="R156" s="352"/>
      <c r="S156" s="14"/>
    </row>
    <row r="157" spans="1:19" x14ac:dyDescent="0.35">
      <c r="A157">
        <v>10</v>
      </c>
      <c r="B157" s="43" t="s">
        <v>145</v>
      </c>
      <c r="C157" s="271">
        <v>250</v>
      </c>
      <c r="D157" s="217">
        <v>250</v>
      </c>
      <c r="E157" s="279">
        <v>0</v>
      </c>
      <c r="F157" s="255"/>
      <c r="G157" s="309">
        <v>200</v>
      </c>
      <c r="H157" s="304">
        <v>200</v>
      </c>
      <c r="I157" s="311">
        <v>0</v>
      </c>
      <c r="J157" s="303"/>
      <c r="K157" s="339">
        <v>270</v>
      </c>
      <c r="L157" s="332">
        <v>270</v>
      </c>
      <c r="M157" s="336">
        <v>0</v>
      </c>
      <c r="N157" s="345"/>
      <c r="O157" s="218">
        <v>300</v>
      </c>
      <c r="P157" s="218">
        <v>300</v>
      </c>
      <c r="Q157" s="218">
        <v>0</v>
      </c>
      <c r="R157" s="352"/>
      <c r="S157" s="14"/>
    </row>
    <row r="158" spans="1:19" x14ac:dyDescent="0.35">
      <c r="A158">
        <v>11</v>
      </c>
      <c r="B158" s="43" t="s">
        <v>360</v>
      </c>
      <c r="C158" s="271">
        <v>250</v>
      </c>
      <c r="D158" s="217">
        <v>250</v>
      </c>
      <c r="E158" s="279"/>
      <c r="F158" s="255"/>
      <c r="G158" s="309">
        <v>200</v>
      </c>
      <c r="H158" s="304">
        <v>200</v>
      </c>
      <c r="I158" s="311"/>
      <c r="J158" s="303"/>
      <c r="K158" s="339">
        <v>270</v>
      </c>
      <c r="L158" s="341">
        <v>270</v>
      </c>
      <c r="M158" s="336"/>
      <c r="N158" s="345"/>
      <c r="O158" s="218">
        <v>300</v>
      </c>
      <c r="P158" s="218">
        <v>300</v>
      </c>
      <c r="Q158" s="218"/>
      <c r="R158" s="352"/>
      <c r="S158" s="14"/>
    </row>
    <row r="159" spans="1:19" x14ac:dyDescent="0.35">
      <c r="A159">
        <v>12</v>
      </c>
      <c r="B159" s="43" t="s">
        <v>361</v>
      </c>
      <c r="C159" s="271">
        <v>250</v>
      </c>
      <c r="D159" s="217">
        <v>250</v>
      </c>
      <c r="E159" s="279">
        <v>0</v>
      </c>
      <c r="F159" s="255"/>
      <c r="G159" s="309">
        <v>200</v>
      </c>
      <c r="H159" s="304">
        <v>200</v>
      </c>
      <c r="I159" s="311">
        <v>0</v>
      </c>
      <c r="J159" s="303"/>
      <c r="K159" s="339">
        <v>270</v>
      </c>
      <c r="L159" s="341">
        <v>270</v>
      </c>
      <c r="M159" s="336">
        <v>0</v>
      </c>
      <c r="N159" s="345"/>
      <c r="O159" s="218">
        <v>300</v>
      </c>
      <c r="P159" s="352"/>
      <c r="Q159" s="218">
        <v>300</v>
      </c>
      <c r="R159" s="352"/>
      <c r="S159" s="14"/>
    </row>
    <row r="160" spans="1:19" x14ac:dyDescent="0.35">
      <c r="A160">
        <v>13</v>
      </c>
      <c r="B160" s="43" t="s">
        <v>362</v>
      </c>
      <c r="C160" s="271">
        <v>250</v>
      </c>
      <c r="D160" s="255"/>
      <c r="E160" s="279">
        <v>250</v>
      </c>
      <c r="F160" s="255"/>
      <c r="G160" s="309">
        <v>200</v>
      </c>
      <c r="H160" s="302"/>
      <c r="I160" s="311">
        <v>200</v>
      </c>
      <c r="J160" s="303"/>
      <c r="K160" s="339">
        <v>270</v>
      </c>
      <c r="L160" s="332"/>
      <c r="M160" s="336">
        <v>270</v>
      </c>
      <c r="N160" s="345"/>
      <c r="O160" s="218">
        <v>300</v>
      </c>
      <c r="P160" s="352"/>
      <c r="Q160" s="218">
        <v>300</v>
      </c>
      <c r="R160" s="352"/>
      <c r="S160" s="14"/>
    </row>
    <row r="161" spans="1:19" x14ac:dyDescent="0.35">
      <c r="A161">
        <v>14</v>
      </c>
      <c r="B161" s="43" t="s">
        <v>363</v>
      </c>
      <c r="C161" s="271">
        <v>250</v>
      </c>
      <c r="D161" s="217">
        <v>250</v>
      </c>
      <c r="E161" s="279">
        <v>0</v>
      </c>
      <c r="F161" s="255"/>
      <c r="G161" s="309">
        <v>200</v>
      </c>
      <c r="H161" s="304">
        <v>0</v>
      </c>
      <c r="I161" s="311">
        <v>200</v>
      </c>
      <c r="J161" s="303"/>
      <c r="K161" s="339">
        <v>270</v>
      </c>
      <c r="L161" s="341">
        <v>270</v>
      </c>
      <c r="M161" s="336">
        <v>0</v>
      </c>
      <c r="N161" s="345"/>
      <c r="O161" s="218">
        <v>300</v>
      </c>
      <c r="P161" s="352"/>
      <c r="Q161" s="218">
        <v>300</v>
      </c>
      <c r="R161" s="352"/>
      <c r="S161" s="14"/>
    </row>
    <row r="162" spans="1:19" x14ac:dyDescent="0.35">
      <c r="A162">
        <v>15</v>
      </c>
      <c r="B162" s="43" t="s">
        <v>364</v>
      </c>
      <c r="C162" s="271">
        <v>250</v>
      </c>
      <c r="D162" s="217">
        <v>250</v>
      </c>
      <c r="E162" s="279">
        <v>0</v>
      </c>
      <c r="F162" s="255"/>
      <c r="G162" s="309">
        <v>200</v>
      </c>
      <c r="H162" s="304">
        <v>200</v>
      </c>
      <c r="I162" s="311">
        <v>0</v>
      </c>
      <c r="J162" s="303"/>
      <c r="K162" s="339">
        <v>270</v>
      </c>
      <c r="L162" s="341">
        <v>270</v>
      </c>
      <c r="M162" s="336">
        <v>0</v>
      </c>
      <c r="N162" s="345"/>
      <c r="O162" s="218">
        <v>300</v>
      </c>
      <c r="P162" s="218">
        <v>300</v>
      </c>
      <c r="Q162" s="218">
        <v>0</v>
      </c>
      <c r="R162" s="352"/>
      <c r="S162" s="14"/>
    </row>
    <row r="163" spans="1:19" x14ac:dyDescent="0.35">
      <c r="A163">
        <v>16</v>
      </c>
      <c r="B163" s="43" t="s">
        <v>120</v>
      </c>
      <c r="C163" s="271">
        <v>250</v>
      </c>
      <c r="D163" s="217">
        <v>250</v>
      </c>
      <c r="E163" s="279">
        <v>0</v>
      </c>
      <c r="F163" s="255"/>
      <c r="G163" s="309">
        <v>200</v>
      </c>
      <c r="H163" s="304">
        <v>200</v>
      </c>
      <c r="I163" s="311">
        <v>0</v>
      </c>
      <c r="J163" s="303"/>
      <c r="K163" s="339">
        <v>270</v>
      </c>
      <c r="L163" s="341">
        <v>270</v>
      </c>
      <c r="M163" s="336">
        <v>0</v>
      </c>
      <c r="N163" s="345"/>
      <c r="O163" s="218">
        <v>300</v>
      </c>
      <c r="P163" s="218">
        <v>300</v>
      </c>
      <c r="Q163" s="218">
        <v>0</v>
      </c>
      <c r="R163" s="352"/>
      <c r="S163" s="14"/>
    </row>
    <row r="164" spans="1:19" x14ac:dyDescent="0.35">
      <c r="A164">
        <v>17</v>
      </c>
      <c r="B164" s="43" t="s">
        <v>365</v>
      </c>
      <c r="C164" s="271">
        <v>250</v>
      </c>
      <c r="D164" s="217">
        <v>250</v>
      </c>
      <c r="E164" s="279"/>
      <c r="F164" s="255"/>
      <c r="G164" s="309">
        <v>200</v>
      </c>
      <c r="H164" s="304">
        <v>200</v>
      </c>
      <c r="I164" s="311"/>
      <c r="J164" s="303"/>
      <c r="K164" s="339">
        <v>270</v>
      </c>
      <c r="L164" s="332">
        <v>270</v>
      </c>
      <c r="M164" s="336"/>
      <c r="N164" s="345"/>
      <c r="O164" s="218">
        <v>300</v>
      </c>
      <c r="P164" s="352">
        <v>300</v>
      </c>
      <c r="Q164" s="218"/>
      <c r="R164" s="352"/>
      <c r="S164" s="14"/>
    </row>
    <row r="165" spans="1:19" x14ac:dyDescent="0.35">
      <c r="A165">
        <v>18</v>
      </c>
      <c r="B165" s="43" t="s">
        <v>440</v>
      </c>
      <c r="C165" s="271">
        <v>250</v>
      </c>
      <c r="D165" s="255"/>
      <c r="E165" s="279">
        <v>250</v>
      </c>
      <c r="F165" s="255"/>
      <c r="G165" s="309">
        <v>200</v>
      </c>
      <c r="H165" s="302"/>
      <c r="I165" s="311">
        <v>200</v>
      </c>
      <c r="J165" s="303"/>
      <c r="K165" s="339">
        <v>270</v>
      </c>
      <c r="L165" s="332"/>
      <c r="M165" s="336">
        <v>270</v>
      </c>
      <c r="N165" s="345"/>
      <c r="O165" s="218">
        <v>300</v>
      </c>
      <c r="P165" s="352"/>
      <c r="Q165" s="218">
        <v>300</v>
      </c>
      <c r="R165" s="352"/>
      <c r="S165" s="14"/>
    </row>
    <row r="166" spans="1:19" x14ac:dyDescent="0.35">
      <c r="A166">
        <v>19</v>
      </c>
      <c r="B166" s="43" t="s">
        <v>366</v>
      </c>
      <c r="C166" s="271">
        <v>250</v>
      </c>
      <c r="D166" s="217">
        <v>250</v>
      </c>
      <c r="E166" s="279">
        <v>0</v>
      </c>
      <c r="F166" s="255"/>
      <c r="G166" s="309">
        <v>200</v>
      </c>
      <c r="H166" s="304">
        <v>200</v>
      </c>
      <c r="I166" s="311">
        <v>0</v>
      </c>
      <c r="J166" s="303"/>
      <c r="K166" s="339">
        <v>270</v>
      </c>
      <c r="L166" s="341">
        <v>170</v>
      </c>
      <c r="M166" s="336">
        <v>270</v>
      </c>
      <c r="N166" s="345"/>
      <c r="O166" s="218">
        <v>300</v>
      </c>
      <c r="P166" s="352"/>
      <c r="Q166" s="218">
        <v>300</v>
      </c>
      <c r="R166" s="352"/>
      <c r="S166" s="14"/>
    </row>
    <row r="167" spans="1:19" s="239" customFormat="1" ht="15" thickBot="1" x14ac:dyDescent="0.4">
      <c r="B167" s="240"/>
      <c r="C167" s="267"/>
      <c r="D167" s="283">
        <f>SUM(D148:D166)</f>
        <v>3250</v>
      </c>
      <c r="E167" s="280">
        <f>SUM(E148:E166)</f>
        <v>1500</v>
      </c>
      <c r="F167" s="281"/>
      <c r="G167" s="320"/>
      <c r="H167" s="321">
        <f>SUM(H148:H166)</f>
        <v>2500</v>
      </c>
      <c r="I167" s="317">
        <f>SUM(I148:I166)</f>
        <v>1300</v>
      </c>
      <c r="J167" s="318"/>
      <c r="K167" s="349"/>
      <c r="L167" s="350">
        <f>SUM(L148:L166)</f>
        <v>3410</v>
      </c>
      <c r="M167" s="343">
        <f>SUM(M148:M166)</f>
        <v>1890</v>
      </c>
      <c r="N167" s="344"/>
      <c r="O167" s="353"/>
      <c r="P167" s="356">
        <f>SUM(P148:P166)</f>
        <v>2400</v>
      </c>
      <c r="Q167" s="356">
        <f>SUM(Q148:Q166)</f>
        <v>3000</v>
      </c>
      <c r="R167" s="352"/>
      <c r="S167" s="238"/>
    </row>
    <row r="168" spans="1:19" ht="15" thickBot="1" x14ac:dyDescent="0.4">
      <c r="B168" s="79" t="s">
        <v>32</v>
      </c>
      <c r="C168" s="76"/>
      <c r="D168" s="75"/>
      <c r="E168" s="75"/>
      <c r="F168" s="75"/>
      <c r="G168" s="313"/>
      <c r="H168" s="313"/>
      <c r="I168" s="314"/>
      <c r="J168" s="314"/>
      <c r="K168" s="337"/>
      <c r="L168" s="338"/>
      <c r="M168" s="338"/>
      <c r="N168" s="338"/>
      <c r="O168" s="159"/>
      <c r="P168" s="159"/>
      <c r="Q168" s="159"/>
      <c r="R168" s="159"/>
      <c r="S168" s="159"/>
    </row>
    <row r="169" spans="1:19" x14ac:dyDescent="0.35">
      <c r="A169">
        <v>1</v>
      </c>
      <c r="B169" s="58" t="s">
        <v>344</v>
      </c>
      <c r="C169" s="271">
        <v>250</v>
      </c>
      <c r="D169" s="279">
        <v>250</v>
      </c>
      <c r="E169" s="279"/>
      <c r="F169" s="278"/>
      <c r="G169" s="309">
        <v>200</v>
      </c>
      <c r="H169" s="310"/>
      <c r="I169" s="311">
        <v>200</v>
      </c>
      <c r="J169" s="312"/>
      <c r="K169" s="339">
        <v>270</v>
      </c>
      <c r="L169" s="345"/>
      <c r="M169" s="336">
        <v>270</v>
      </c>
      <c r="N169" s="345"/>
      <c r="O169" s="218">
        <v>300</v>
      </c>
      <c r="P169" s="352"/>
      <c r="Q169" s="218">
        <v>300</v>
      </c>
      <c r="R169" s="352"/>
      <c r="S169" s="14"/>
    </row>
    <row r="170" spans="1:19" x14ac:dyDescent="0.35">
      <c r="A170">
        <v>2</v>
      </c>
      <c r="B170" s="43" t="s">
        <v>345</v>
      </c>
      <c r="C170" s="271">
        <v>250</v>
      </c>
      <c r="D170" s="217">
        <v>250</v>
      </c>
      <c r="E170" s="279">
        <v>0</v>
      </c>
      <c r="F170" s="255"/>
      <c r="G170" s="309">
        <v>200</v>
      </c>
      <c r="H170" s="304">
        <v>200</v>
      </c>
      <c r="I170" s="311">
        <v>0</v>
      </c>
      <c r="J170" s="303"/>
      <c r="K170" s="339">
        <v>270</v>
      </c>
      <c r="L170" s="341">
        <v>270</v>
      </c>
      <c r="M170" s="336">
        <v>0</v>
      </c>
      <c r="N170" s="345"/>
      <c r="O170" s="218">
        <v>300</v>
      </c>
      <c r="P170" s="352">
        <v>300</v>
      </c>
      <c r="Q170" s="218">
        <v>0</v>
      </c>
      <c r="R170" s="352"/>
      <c r="S170" s="14"/>
    </row>
    <row r="171" spans="1:19" x14ac:dyDescent="0.35">
      <c r="A171">
        <v>3</v>
      </c>
      <c r="B171" s="43" t="s">
        <v>208</v>
      </c>
      <c r="C171" s="271">
        <v>250</v>
      </c>
      <c r="D171" s="217">
        <v>250</v>
      </c>
      <c r="E171" s="279">
        <v>0</v>
      </c>
      <c r="F171" s="255"/>
      <c r="G171" s="309">
        <v>200</v>
      </c>
      <c r="H171" s="304">
        <v>200</v>
      </c>
      <c r="I171" s="311">
        <v>0</v>
      </c>
      <c r="J171" s="303"/>
      <c r="K171" s="339">
        <v>270</v>
      </c>
      <c r="L171" s="341">
        <v>270</v>
      </c>
      <c r="M171" s="336">
        <v>0</v>
      </c>
      <c r="N171" s="345"/>
      <c r="O171" s="218"/>
      <c r="P171" s="352" t="s">
        <v>367</v>
      </c>
      <c r="Q171" s="218"/>
      <c r="R171" s="352"/>
      <c r="S171" s="14"/>
    </row>
    <row r="172" spans="1:19" x14ac:dyDescent="0.35">
      <c r="A172">
        <v>4</v>
      </c>
      <c r="B172" s="43" t="s">
        <v>346</v>
      </c>
      <c r="C172" s="271">
        <v>250</v>
      </c>
      <c r="D172" s="217">
        <v>250</v>
      </c>
      <c r="E172" s="279">
        <v>0</v>
      </c>
      <c r="F172" s="255"/>
      <c r="G172" s="309">
        <v>200</v>
      </c>
      <c r="H172" s="304">
        <v>200</v>
      </c>
      <c r="I172" s="311">
        <v>0</v>
      </c>
      <c r="J172" s="303"/>
      <c r="K172" s="339">
        <v>270</v>
      </c>
      <c r="L172" s="341">
        <v>270</v>
      </c>
      <c r="M172" s="336">
        <v>0</v>
      </c>
      <c r="N172" s="345"/>
      <c r="O172" s="218">
        <v>300</v>
      </c>
      <c r="P172" s="218">
        <v>300</v>
      </c>
      <c r="Q172" s="218">
        <v>0</v>
      </c>
      <c r="R172" s="352"/>
      <c r="S172" s="14"/>
    </row>
    <row r="173" spans="1:19" x14ac:dyDescent="0.35">
      <c r="A173">
        <v>5</v>
      </c>
      <c r="B173" s="43" t="s">
        <v>347</v>
      </c>
      <c r="C173" s="271">
        <v>250</v>
      </c>
      <c r="D173" s="217">
        <v>250</v>
      </c>
      <c r="E173" s="279"/>
      <c r="F173" s="255"/>
      <c r="G173" s="309">
        <v>200</v>
      </c>
      <c r="H173" s="302"/>
      <c r="I173" s="311">
        <v>200</v>
      </c>
      <c r="J173" s="303"/>
      <c r="K173" s="339">
        <v>270</v>
      </c>
      <c r="L173" s="332"/>
      <c r="M173" s="336">
        <v>270</v>
      </c>
      <c r="N173" s="345"/>
      <c r="O173" s="218">
        <v>300</v>
      </c>
      <c r="P173" s="352"/>
      <c r="Q173" s="218">
        <v>300</v>
      </c>
      <c r="R173" s="352"/>
      <c r="S173" s="14"/>
    </row>
    <row r="174" spans="1:19" x14ac:dyDescent="0.35">
      <c r="A174">
        <v>6</v>
      </c>
      <c r="B174" s="43" t="s">
        <v>348</v>
      </c>
      <c r="C174" s="271">
        <v>250</v>
      </c>
      <c r="D174" s="217">
        <v>250</v>
      </c>
      <c r="E174" s="279"/>
      <c r="F174" s="255"/>
      <c r="G174" s="309">
        <v>200</v>
      </c>
      <c r="H174" s="302"/>
      <c r="I174" s="311">
        <v>200</v>
      </c>
      <c r="J174" s="303"/>
      <c r="K174" s="339">
        <v>270</v>
      </c>
      <c r="L174" s="332"/>
      <c r="M174" s="336">
        <v>270</v>
      </c>
      <c r="N174" s="345"/>
      <c r="O174" s="218">
        <v>300</v>
      </c>
      <c r="P174" s="352"/>
      <c r="Q174" s="218">
        <v>300</v>
      </c>
      <c r="R174" s="352"/>
      <c r="S174" s="14"/>
    </row>
    <row r="175" spans="1:19" x14ac:dyDescent="0.35">
      <c r="A175">
        <v>7</v>
      </c>
      <c r="B175" s="43" t="s">
        <v>154</v>
      </c>
      <c r="C175" s="271">
        <v>250</v>
      </c>
      <c r="D175" s="217">
        <v>250</v>
      </c>
      <c r="E175" s="279">
        <v>0</v>
      </c>
      <c r="F175" s="255"/>
      <c r="G175" s="309">
        <v>200</v>
      </c>
      <c r="H175" s="304">
        <v>200</v>
      </c>
      <c r="I175" s="311">
        <v>0</v>
      </c>
      <c r="J175" s="303"/>
      <c r="K175" s="339">
        <v>270</v>
      </c>
      <c r="L175" s="341">
        <v>270</v>
      </c>
      <c r="M175" s="336">
        <v>0</v>
      </c>
      <c r="N175" s="345"/>
      <c r="O175" s="218">
        <v>300</v>
      </c>
      <c r="P175" s="218">
        <v>300</v>
      </c>
      <c r="Q175" s="218">
        <v>0</v>
      </c>
      <c r="R175" s="352"/>
      <c r="S175" s="14"/>
    </row>
    <row r="176" spans="1:19" x14ac:dyDescent="0.35">
      <c r="A176">
        <v>8</v>
      </c>
      <c r="B176" s="43" t="s">
        <v>122</v>
      </c>
      <c r="C176" s="271">
        <v>250</v>
      </c>
      <c r="D176" s="217">
        <v>250</v>
      </c>
      <c r="E176" s="279">
        <v>0</v>
      </c>
      <c r="F176" s="255"/>
      <c r="G176" s="309">
        <v>200</v>
      </c>
      <c r="H176" s="304">
        <v>200</v>
      </c>
      <c r="I176" s="311">
        <v>0</v>
      </c>
      <c r="J176" s="303"/>
      <c r="K176" s="339">
        <v>270</v>
      </c>
      <c r="L176" s="341">
        <v>270</v>
      </c>
      <c r="M176" s="336">
        <v>0</v>
      </c>
      <c r="N176" s="345"/>
      <c r="O176" s="218">
        <v>300</v>
      </c>
      <c r="P176" s="352"/>
      <c r="Q176" s="218">
        <v>300</v>
      </c>
      <c r="R176" s="352"/>
      <c r="S176" s="14"/>
    </row>
    <row r="177" spans="1:19" x14ac:dyDescent="0.35">
      <c r="A177">
        <v>9</v>
      </c>
      <c r="B177" s="43" t="s">
        <v>242</v>
      </c>
      <c r="C177" s="271">
        <v>250</v>
      </c>
      <c r="D177" s="255"/>
      <c r="E177" s="279">
        <v>250</v>
      </c>
      <c r="F177" s="255"/>
      <c r="G177" s="309">
        <v>200</v>
      </c>
      <c r="H177" s="302"/>
      <c r="I177" s="311">
        <v>200</v>
      </c>
      <c r="J177" s="303"/>
      <c r="K177" s="339">
        <v>270</v>
      </c>
      <c r="L177" s="332"/>
      <c r="M177" s="336">
        <v>270</v>
      </c>
      <c r="N177" s="345"/>
      <c r="O177" s="218">
        <v>300</v>
      </c>
      <c r="P177" s="352"/>
      <c r="Q177" s="218">
        <v>300</v>
      </c>
      <c r="R177" s="352"/>
      <c r="S177" s="14"/>
    </row>
    <row r="178" spans="1:19" x14ac:dyDescent="0.35">
      <c r="A178">
        <v>10</v>
      </c>
      <c r="B178" s="43" t="s">
        <v>350</v>
      </c>
      <c r="C178" s="271">
        <v>250</v>
      </c>
      <c r="D178" s="217">
        <v>250</v>
      </c>
      <c r="E178" s="279"/>
      <c r="F178" s="255"/>
      <c r="G178" s="309">
        <v>200</v>
      </c>
      <c r="H178" s="304">
        <v>200</v>
      </c>
      <c r="I178" s="311"/>
      <c r="J178" s="303"/>
      <c r="K178" s="339">
        <v>270</v>
      </c>
      <c r="L178" s="341">
        <v>270</v>
      </c>
      <c r="M178" s="336"/>
      <c r="N178" s="345"/>
      <c r="O178" s="218">
        <v>300</v>
      </c>
      <c r="P178" s="218">
        <v>300</v>
      </c>
      <c r="Q178" s="218"/>
      <c r="R178" s="352"/>
      <c r="S178" s="14"/>
    </row>
    <row r="179" spans="1:19" x14ac:dyDescent="0.35">
      <c r="A179">
        <v>11</v>
      </c>
      <c r="B179" s="43" t="s">
        <v>351</v>
      </c>
      <c r="C179" s="271">
        <v>250</v>
      </c>
      <c r="D179" s="255"/>
      <c r="E179" s="279">
        <v>250</v>
      </c>
      <c r="F179" s="255"/>
      <c r="G179" s="309">
        <v>200</v>
      </c>
      <c r="H179" s="302"/>
      <c r="I179" s="311">
        <v>200</v>
      </c>
      <c r="J179" s="303"/>
      <c r="K179" s="339">
        <v>270</v>
      </c>
      <c r="L179" s="332"/>
      <c r="M179" s="336">
        <v>270</v>
      </c>
      <c r="N179" s="345"/>
      <c r="O179" s="218">
        <v>300</v>
      </c>
      <c r="P179" s="352"/>
      <c r="Q179" s="218">
        <v>300</v>
      </c>
      <c r="R179" s="352"/>
      <c r="S179" s="14"/>
    </row>
    <row r="180" spans="1:19" x14ac:dyDescent="0.35">
      <c r="A180">
        <v>12</v>
      </c>
      <c r="B180" s="43" t="s">
        <v>352</v>
      </c>
      <c r="C180" s="271">
        <v>250</v>
      </c>
      <c r="D180" s="217">
        <v>250</v>
      </c>
      <c r="E180" s="279"/>
      <c r="F180" s="255"/>
      <c r="G180" s="309">
        <v>200</v>
      </c>
      <c r="H180" s="304">
        <v>200</v>
      </c>
      <c r="I180" s="311"/>
      <c r="J180" s="303"/>
      <c r="K180" s="339">
        <v>270</v>
      </c>
      <c r="L180" s="332"/>
      <c r="M180" s="336">
        <v>270</v>
      </c>
      <c r="N180" s="345"/>
      <c r="O180" s="218">
        <v>300</v>
      </c>
      <c r="P180" s="352"/>
      <c r="Q180" s="218">
        <v>300</v>
      </c>
      <c r="R180" s="352"/>
      <c r="S180" s="14"/>
    </row>
    <row r="181" spans="1:19" x14ac:dyDescent="0.35">
      <c r="A181">
        <v>13</v>
      </c>
      <c r="B181" s="43" t="s">
        <v>353</v>
      </c>
      <c r="C181" s="271">
        <v>250</v>
      </c>
      <c r="D181" s="217">
        <v>250</v>
      </c>
      <c r="E181" s="279">
        <v>0</v>
      </c>
      <c r="F181" s="255"/>
      <c r="G181" s="309">
        <v>200</v>
      </c>
      <c r="H181" s="304">
        <v>200</v>
      </c>
      <c r="I181" s="311">
        <v>0</v>
      </c>
      <c r="J181" s="303"/>
      <c r="K181" s="339">
        <v>270</v>
      </c>
      <c r="L181" s="341">
        <v>270</v>
      </c>
      <c r="M181" s="336">
        <v>0</v>
      </c>
      <c r="N181" s="345"/>
      <c r="O181" s="218">
        <v>300</v>
      </c>
      <c r="P181" s="218">
        <v>300</v>
      </c>
      <c r="Q181" s="218">
        <v>0</v>
      </c>
      <c r="R181" s="352"/>
      <c r="S181" s="14"/>
    </row>
    <row r="182" spans="1:19" s="239" customFormat="1" x14ac:dyDescent="0.35">
      <c r="B182" s="359"/>
      <c r="C182" s="143">
        <f>SUM(C5:C181)</f>
        <v>39750</v>
      </c>
      <c r="D182" s="360">
        <f>SUM(D169:D181)</f>
        <v>2750</v>
      </c>
      <c r="E182" s="372">
        <f>SUM(E169:E181)</f>
        <v>500</v>
      </c>
      <c r="F182" s="144"/>
      <c r="G182" s="361">
        <f>SUM(G5:G181)</f>
        <v>31800</v>
      </c>
      <c r="H182" s="361">
        <f>SUM(H169:H181)</f>
        <v>1600</v>
      </c>
      <c r="I182" s="362">
        <f>SUM(I169:I181)</f>
        <v>1000</v>
      </c>
      <c r="J182" s="363"/>
      <c r="K182" s="364">
        <f>SUM(K62:K181)</f>
        <v>29160</v>
      </c>
      <c r="L182" s="365">
        <f>SUM(L169:L181)</f>
        <v>1890</v>
      </c>
      <c r="M182" s="366">
        <f>SUM(M169:M181)</f>
        <v>1620</v>
      </c>
      <c r="N182" s="365"/>
      <c r="O182" s="367">
        <f>SUM(O5:O181)</f>
        <v>33300</v>
      </c>
      <c r="P182" s="367">
        <f>SUM(P169:P181)</f>
        <v>1500</v>
      </c>
      <c r="Q182" s="368">
        <f>SUM(Q169:Q181)</f>
        <v>2100</v>
      </c>
      <c r="R182" s="369"/>
      <c r="S182" s="370"/>
    </row>
  </sheetData>
  <mergeCells count="7">
    <mergeCell ref="S3:S4"/>
    <mergeCell ref="L3:L4"/>
    <mergeCell ref="B3:B4"/>
    <mergeCell ref="D3:D4"/>
    <mergeCell ref="H3:H4"/>
    <mergeCell ref="O3:O4"/>
    <mergeCell ref="R3:R4"/>
  </mergeCells>
  <pageMargins left="0.7" right="0.7" top="0.75" bottom="0.75" header="0.3" footer="0.3"/>
  <pageSetup paperSize="9" scale="6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87DC-8A37-4010-8A9C-6F5629AF1C03}">
  <sheetPr>
    <tabColor rgb="FFFF0000"/>
    <pageSetUpPr fitToPage="1"/>
  </sheetPr>
  <dimension ref="A2:AA683"/>
  <sheetViews>
    <sheetView topLeftCell="A212" workbookViewId="0">
      <selection activeCell="I232" sqref="I232"/>
    </sheetView>
  </sheetViews>
  <sheetFormatPr defaultRowHeight="14.5" x14ac:dyDescent="0.35"/>
  <cols>
    <col min="2" max="2" width="24.36328125" bestFit="1" customWidth="1"/>
    <col min="3" max="3" width="3.6328125" bestFit="1" customWidth="1"/>
    <col min="4" max="4" width="3.54296875" customWidth="1"/>
    <col min="5" max="5" width="21.54296875" style="160" customWidth="1"/>
    <col min="6" max="6" width="11.1796875" bestFit="1" customWidth="1"/>
    <col min="7" max="7" width="8.453125" bestFit="1" customWidth="1"/>
    <col min="8" max="8" width="8.7265625" bestFit="1" customWidth="1"/>
    <col min="9" max="9" width="10.1796875" bestFit="1" customWidth="1"/>
    <col min="10" max="10" width="10.453125" bestFit="1" customWidth="1"/>
    <col min="11" max="11" width="10.453125" customWidth="1"/>
    <col min="15" max="15" width="11.1796875" bestFit="1" customWidth="1"/>
    <col min="16" max="16" width="11.1796875" customWidth="1"/>
    <col min="17" max="17" width="11.6328125" bestFit="1" customWidth="1"/>
    <col min="18" max="20" width="11.6328125" customWidth="1"/>
    <col min="25" max="25" width="11.81640625" bestFit="1" customWidth="1"/>
    <col min="26" max="27" width="11.81640625" customWidth="1"/>
    <col min="28" max="28" width="9.08984375" bestFit="1" customWidth="1"/>
    <col min="29" max="30" width="9.08984375" customWidth="1"/>
    <col min="31" max="31" width="9.08984375" bestFit="1" customWidth="1"/>
    <col min="32" max="32" width="10" bestFit="1" customWidth="1"/>
  </cols>
  <sheetData>
    <row r="2" spans="1:27" x14ac:dyDescent="0.35">
      <c r="A2" s="14"/>
      <c r="B2" s="394" t="s">
        <v>4</v>
      </c>
      <c r="C2" s="394"/>
      <c r="D2" s="395"/>
      <c r="E2" s="207"/>
      <c r="F2" s="180"/>
      <c r="G2" s="7"/>
      <c r="H2" s="5"/>
      <c r="I2" s="5"/>
      <c r="J2" s="5"/>
      <c r="K2" s="5"/>
      <c r="L2" s="5"/>
      <c r="M2" s="8"/>
      <c r="N2" s="8"/>
      <c r="O2" s="9"/>
      <c r="P2" s="9"/>
      <c r="Q2" s="7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x14ac:dyDescent="0.35">
      <c r="A3" s="14"/>
      <c r="B3" s="394" t="s">
        <v>5</v>
      </c>
      <c r="C3" s="394"/>
      <c r="D3" s="395"/>
      <c r="E3" s="207"/>
      <c r="F3" s="180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x14ac:dyDescent="0.35">
      <c r="A4" s="14"/>
      <c r="B4" s="394" t="s">
        <v>6</v>
      </c>
      <c r="C4" s="394"/>
      <c r="D4" s="395"/>
      <c r="E4" s="207"/>
      <c r="F4" s="180"/>
      <c r="G4" s="7"/>
      <c r="H4" s="5"/>
      <c r="I4" s="5"/>
      <c r="J4" s="10"/>
      <c r="K4" s="10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x14ac:dyDescent="0.35">
      <c r="A5" s="14"/>
      <c r="B5" s="394" t="s">
        <v>7</v>
      </c>
      <c r="C5" s="394"/>
      <c r="D5" s="395"/>
      <c r="E5" s="207"/>
      <c r="F5" s="180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5" thickBot="1" x14ac:dyDescent="0.4">
      <c r="A6" s="255"/>
      <c r="B6" s="13" t="s">
        <v>293</v>
      </c>
      <c r="C6" s="25"/>
      <c r="D6" s="25"/>
      <c r="E6" s="135"/>
      <c r="F6" s="25"/>
      <c r="G6" s="25"/>
      <c r="H6" s="25"/>
      <c r="I6" s="25"/>
      <c r="J6" s="25"/>
      <c r="K6" s="25"/>
      <c r="L6" s="25"/>
      <c r="M6" s="25"/>
      <c r="N6" s="25"/>
      <c r="O6" s="25"/>
    </row>
    <row r="7" spans="1:27" x14ac:dyDescent="0.35">
      <c r="A7" s="14"/>
      <c r="B7" s="396" t="s">
        <v>8</v>
      </c>
      <c r="C7" s="388" t="s">
        <v>9</v>
      </c>
      <c r="D7" s="398" t="s">
        <v>10</v>
      </c>
      <c r="E7" s="208"/>
      <c r="F7" s="387" t="s">
        <v>11</v>
      </c>
      <c r="G7" s="387"/>
      <c r="H7" s="162"/>
      <c r="I7" s="387" t="s">
        <v>12</v>
      </c>
      <c r="J7" s="387"/>
      <c r="K7" s="162"/>
      <c r="L7" s="387" t="s">
        <v>13</v>
      </c>
      <c r="M7" s="387"/>
      <c r="N7" s="162"/>
      <c r="O7" s="387" t="s">
        <v>14</v>
      </c>
    </row>
    <row r="8" spans="1:27" ht="16.5" customHeight="1" x14ac:dyDescent="0.35">
      <c r="A8" s="14"/>
      <c r="B8" s="397"/>
      <c r="C8" s="389"/>
      <c r="D8" s="399"/>
      <c r="E8" s="208" t="s">
        <v>433</v>
      </c>
      <c r="F8" s="181" t="s">
        <v>17</v>
      </c>
      <c r="G8" s="11" t="s">
        <v>288</v>
      </c>
      <c r="H8" s="11" t="s">
        <v>431</v>
      </c>
      <c r="I8" s="11" t="s">
        <v>17</v>
      </c>
      <c r="J8" s="11" t="s">
        <v>19</v>
      </c>
      <c r="K8" s="11" t="s">
        <v>431</v>
      </c>
      <c r="L8" s="11" t="s">
        <v>17</v>
      </c>
      <c r="M8" s="11" t="s">
        <v>19</v>
      </c>
      <c r="N8" s="11" t="s">
        <v>431</v>
      </c>
      <c r="O8" s="375"/>
    </row>
    <row r="9" spans="1:27" x14ac:dyDescent="0.35">
      <c r="A9" s="14">
        <v>1</v>
      </c>
      <c r="B9" s="241" t="s">
        <v>324</v>
      </c>
      <c r="C9" s="36" t="s">
        <v>22</v>
      </c>
      <c r="D9" s="164" t="s">
        <v>21</v>
      </c>
      <c r="E9" s="37">
        <v>2400</v>
      </c>
      <c r="F9" s="182">
        <v>1200</v>
      </c>
      <c r="G9" s="36"/>
      <c r="H9" s="36"/>
      <c r="I9" s="37">
        <v>1200</v>
      </c>
      <c r="J9" s="163">
        <v>46046</v>
      </c>
      <c r="K9" s="163"/>
      <c r="L9" s="36"/>
      <c r="M9" s="36"/>
      <c r="N9" s="36"/>
      <c r="O9" s="37">
        <f>2400-(F9+I9+L9)</f>
        <v>0</v>
      </c>
    </row>
    <row r="10" spans="1:27" x14ac:dyDescent="0.35">
      <c r="A10" s="14">
        <v>2</v>
      </c>
      <c r="B10" s="241" t="s">
        <v>325</v>
      </c>
      <c r="C10" s="36" t="s">
        <v>22</v>
      </c>
      <c r="D10" s="164" t="s">
        <v>21</v>
      </c>
      <c r="E10" s="37">
        <v>2400</v>
      </c>
      <c r="F10" s="182">
        <v>2400</v>
      </c>
      <c r="G10" s="36"/>
      <c r="H10" s="36"/>
      <c r="I10" s="37"/>
      <c r="J10" s="36"/>
      <c r="K10" s="36"/>
      <c r="L10" s="36"/>
      <c r="M10" s="36"/>
      <c r="N10" s="36"/>
      <c r="O10" s="37">
        <v>0</v>
      </c>
    </row>
    <row r="11" spans="1:27" x14ac:dyDescent="0.35">
      <c r="A11" s="14">
        <v>3</v>
      </c>
      <c r="B11" s="241" t="s">
        <v>326</v>
      </c>
      <c r="C11" s="36" t="s">
        <v>22</v>
      </c>
      <c r="D11" s="164" t="s">
        <v>21</v>
      </c>
      <c r="E11" s="37">
        <v>2400</v>
      </c>
      <c r="F11" s="182">
        <v>1200</v>
      </c>
      <c r="G11" s="36"/>
      <c r="H11" s="36"/>
      <c r="I11" s="37">
        <v>1200</v>
      </c>
      <c r="J11" s="163">
        <v>46083</v>
      </c>
      <c r="K11" s="36"/>
      <c r="L11" s="36"/>
      <c r="M11" s="36"/>
      <c r="N11" s="36"/>
      <c r="O11" s="37">
        <f t="shared" ref="O11:O54" si="0">2400-(F11+I11+L11)</f>
        <v>0</v>
      </c>
    </row>
    <row r="12" spans="1:27" x14ac:dyDescent="0.35">
      <c r="A12" s="14">
        <v>4</v>
      </c>
      <c r="B12" s="241" t="s">
        <v>327</v>
      </c>
      <c r="C12" s="36" t="s">
        <v>22</v>
      </c>
      <c r="D12" s="164" t="s">
        <v>21</v>
      </c>
      <c r="E12" s="37">
        <v>2400</v>
      </c>
      <c r="F12" s="182">
        <v>2400</v>
      </c>
      <c r="G12" s="36"/>
      <c r="H12" s="36"/>
      <c r="I12" s="36"/>
      <c r="J12" s="36"/>
      <c r="K12" s="36"/>
      <c r="L12" s="36"/>
      <c r="M12" s="36"/>
      <c r="N12" s="36"/>
      <c r="O12" s="37">
        <f t="shared" si="0"/>
        <v>0</v>
      </c>
    </row>
    <row r="13" spans="1:27" x14ac:dyDescent="0.35">
      <c r="A13" s="14">
        <v>5</v>
      </c>
      <c r="B13" s="241" t="s">
        <v>328</v>
      </c>
      <c r="C13" s="36" t="s">
        <v>22</v>
      </c>
      <c r="D13" s="164" t="s">
        <v>21</v>
      </c>
      <c r="E13" s="37">
        <v>2400</v>
      </c>
      <c r="F13" s="182">
        <v>2400</v>
      </c>
      <c r="G13" s="36"/>
      <c r="H13" s="36"/>
      <c r="I13" s="36"/>
      <c r="J13" s="36"/>
      <c r="K13" s="36"/>
      <c r="L13" s="36"/>
      <c r="M13" s="36"/>
      <c r="N13" s="36"/>
      <c r="O13" s="37">
        <v>0</v>
      </c>
    </row>
    <row r="14" spans="1:27" x14ac:dyDescent="0.35">
      <c r="A14" s="14">
        <v>6</v>
      </c>
      <c r="B14" s="241" t="s">
        <v>329</v>
      </c>
      <c r="C14" s="36" t="s">
        <v>22</v>
      </c>
      <c r="D14" s="164" t="s">
        <v>21</v>
      </c>
      <c r="E14" s="37">
        <v>2400</v>
      </c>
      <c r="F14" s="182">
        <v>2400</v>
      </c>
      <c r="G14" s="36"/>
      <c r="H14" s="36"/>
      <c r="I14" s="36"/>
      <c r="J14" s="36"/>
      <c r="K14" s="36"/>
      <c r="L14" s="36"/>
      <c r="M14" s="36"/>
      <c r="N14" s="36"/>
      <c r="O14" s="37">
        <f t="shared" ref="O14" si="1">2400-(F14+I14+L14)</f>
        <v>0</v>
      </c>
    </row>
    <row r="15" spans="1:27" x14ac:dyDescent="0.35">
      <c r="A15" s="14">
        <v>7</v>
      </c>
      <c r="B15" s="241" t="s">
        <v>330</v>
      </c>
      <c r="C15" s="36" t="s">
        <v>20</v>
      </c>
      <c r="D15" s="164" t="s">
        <v>21</v>
      </c>
      <c r="E15" s="37">
        <v>2400</v>
      </c>
      <c r="F15" s="182">
        <v>2400</v>
      </c>
      <c r="G15" s="36"/>
      <c r="H15" s="36"/>
      <c r="I15" s="36"/>
      <c r="J15" s="36"/>
      <c r="K15" s="36"/>
      <c r="L15" s="36"/>
      <c r="M15" s="36"/>
      <c r="N15" s="36"/>
      <c r="O15" s="37">
        <f>2400-(F15+I15+L15)</f>
        <v>0</v>
      </c>
    </row>
    <row r="16" spans="1:27" x14ac:dyDescent="0.35">
      <c r="A16" s="14">
        <v>8</v>
      </c>
      <c r="B16" s="241" t="s">
        <v>418</v>
      </c>
      <c r="C16" s="36" t="s">
        <v>20</v>
      </c>
      <c r="D16" s="164" t="s">
        <v>21</v>
      </c>
      <c r="E16" s="37">
        <v>2160</v>
      </c>
      <c r="F16" s="182">
        <v>2160</v>
      </c>
      <c r="G16" s="36"/>
      <c r="H16" s="36"/>
      <c r="I16" s="37"/>
      <c r="J16" s="36"/>
      <c r="K16" s="36"/>
      <c r="L16" s="36"/>
      <c r="M16" s="36"/>
      <c r="N16" s="36"/>
      <c r="O16" s="37">
        <v>0</v>
      </c>
    </row>
    <row r="17" spans="1:15" x14ac:dyDescent="0.35">
      <c r="A17" s="14"/>
      <c r="B17" s="241"/>
      <c r="C17" s="36" t="s">
        <v>20</v>
      </c>
      <c r="D17" s="164" t="s">
        <v>54</v>
      </c>
      <c r="E17" s="37"/>
      <c r="F17" s="182"/>
      <c r="G17" s="36"/>
      <c r="H17" s="36"/>
      <c r="I17" s="36"/>
      <c r="J17" s="36"/>
      <c r="K17" s="36"/>
      <c r="L17" s="36"/>
      <c r="M17" s="36"/>
      <c r="N17" s="36"/>
      <c r="O17" s="37">
        <v>0</v>
      </c>
    </row>
    <row r="18" spans="1:15" ht="15" thickBot="1" x14ac:dyDescent="0.4">
      <c r="A18" s="14"/>
      <c r="B18" s="242"/>
      <c r="C18" s="7"/>
      <c r="D18" s="16"/>
      <c r="E18" s="23"/>
      <c r="F18" s="178"/>
      <c r="G18" s="7"/>
      <c r="H18" s="7"/>
      <c r="I18" s="7"/>
      <c r="J18" s="7"/>
      <c r="K18" s="7"/>
      <c r="L18" s="7"/>
      <c r="M18" s="7"/>
      <c r="N18" s="56"/>
      <c r="O18" s="46"/>
    </row>
    <row r="19" spans="1:15" ht="15" thickBot="1" x14ac:dyDescent="0.4">
      <c r="A19" s="14"/>
      <c r="B19" s="243"/>
      <c r="C19" s="56"/>
      <c r="D19" s="88"/>
      <c r="E19" s="23"/>
      <c r="F19" s="183">
        <f>SUM(F9:F18)</f>
        <v>16560</v>
      </c>
      <c r="G19" s="55"/>
      <c r="H19" s="55"/>
      <c r="I19" s="56"/>
      <c r="J19" s="56"/>
      <c r="K19" s="56"/>
      <c r="L19" s="56"/>
      <c r="M19" s="88"/>
      <c r="N19" s="5"/>
      <c r="O19" s="92">
        <f>SUM(O9:O18)</f>
        <v>0</v>
      </c>
    </row>
    <row r="20" spans="1:15" ht="15" thickBot="1" x14ac:dyDescent="0.4">
      <c r="A20" s="14"/>
      <c r="B20" s="244" t="s">
        <v>294</v>
      </c>
      <c r="C20" s="110"/>
      <c r="D20" s="165"/>
      <c r="E20" s="209"/>
      <c r="F20" s="184"/>
      <c r="G20" s="110"/>
      <c r="H20" s="110"/>
      <c r="I20" s="110"/>
      <c r="J20" s="110"/>
      <c r="K20" s="110"/>
      <c r="L20" s="110"/>
      <c r="M20" s="110"/>
      <c r="N20" s="110"/>
      <c r="O20" s="111"/>
    </row>
    <row r="21" spans="1:15" x14ac:dyDescent="0.35">
      <c r="A21" s="14">
        <v>1</v>
      </c>
      <c r="B21" s="245" t="s">
        <v>307</v>
      </c>
      <c r="C21" s="106" t="s">
        <v>20</v>
      </c>
      <c r="D21" s="166" t="s">
        <v>54</v>
      </c>
      <c r="E21" s="37">
        <v>2400</v>
      </c>
      <c r="F21" s="185">
        <v>2400</v>
      </c>
      <c r="G21" s="106"/>
      <c r="H21" s="106"/>
      <c r="I21" s="106"/>
      <c r="J21" s="106"/>
      <c r="K21" s="106"/>
      <c r="L21" s="106"/>
      <c r="M21" s="106"/>
      <c r="N21" s="106"/>
      <c r="O21" s="107">
        <f>2400-(F21+I21+L21)</f>
        <v>0</v>
      </c>
    </row>
    <row r="22" spans="1:15" x14ac:dyDescent="0.35">
      <c r="A22" s="14">
        <v>2</v>
      </c>
      <c r="B22" s="241" t="s">
        <v>308</v>
      </c>
      <c r="C22" s="36" t="s">
        <v>20</v>
      </c>
      <c r="D22" s="164" t="s">
        <v>21</v>
      </c>
      <c r="E22" s="37">
        <v>2400</v>
      </c>
      <c r="F22" s="182">
        <v>2400</v>
      </c>
      <c r="G22" s="36"/>
      <c r="H22" s="36"/>
      <c r="I22" s="36"/>
      <c r="J22" s="36"/>
      <c r="K22" s="36"/>
      <c r="L22" s="36"/>
      <c r="M22" s="36"/>
      <c r="N22" s="36"/>
      <c r="O22" s="37">
        <f t="shared" si="0"/>
        <v>0</v>
      </c>
    </row>
    <row r="23" spans="1:15" x14ac:dyDescent="0.35">
      <c r="A23" s="14">
        <v>3</v>
      </c>
      <c r="B23" s="241" t="s">
        <v>309</v>
      </c>
      <c r="C23" s="36" t="s">
        <v>20</v>
      </c>
      <c r="D23" s="164" t="s">
        <v>54</v>
      </c>
      <c r="E23" s="37">
        <v>2400</v>
      </c>
      <c r="F23" s="182">
        <v>1200</v>
      </c>
      <c r="G23" s="36"/>
      <c r="H23" s="36"/>
      <c r="I23" s="37">
        <v>1200</v>
      </c>
      <c r="J23" s="36"/>
      <c r="K23" s="36"/>
      <c r="L23" s="36"/>
      <c r="M23" s="36"/>
      <c r="N23" s="36"/>
      <c r="O23" s="37">
        <f t="shared" si="0"/>
        <v>0</v>
      </c>
    </row>
    <row r="24" spans="1:15" x14ac:dyDescent="0.35">
      <c r="A24" s="14">
        <v>4</v>
      </c>
      <c r="B24" s="241" t="s">
        <v>310</v>
      </c>
      <c r="C24" s="36" t="s">
        <v>20</v>
      </c>
      <c r="D24" s="164" t="s">
        <v>54</v>
      </c>
      <c r="E24" s="37">
        <v>2160</v>
      </c>
      <c r="F24" s="182">
        <v>1100</v>
      </c>
      <c r="G24" s="36"/>
      <c r="H24" s="36"/>
      <c r="I24" s="37">
        <v>1060</v>
      </c>
      <c r="J24" s="36"/>
      <c r="K24" s="36"/>
      <c r="L24" s="36"/>
      <c r="M24" s="36"/>
      <c r="N24" s="36"/>
      <c r="O24" s="37">
        <v>0</v>
      </c>
    </row>
    <row r="25" spans="1:15" x14ac:dyDescent="0.35">
      <c r="A25" s="14">
        <v>5</v>
      </c>
      <c r="B25" s="246" t="s">
        <v>311</v>
      </c>
      <c r="C25" s="40" t="s">
        <v>20</v>
      </c>
      <c r="D25" s="164" t="s">
        <v>54</v>
      </c>
      <c r="E25" s="37">
        <v>2400</v>
      </c>
      <c r="F25" s="182">
        <v>1400</v>
      </c>
      <c r="G25" s="36"/>
      <c r="H25" s="36"/>
      <c r="I25" s="37">
        <v>1000</v>
      </c>
      <c r="J25" s="36"/>
      <c r="K25" s="36"/>
      <c r="L25" s="36"/>
      <c r="M25" s="36"/>
      <c r="N25" s="36"/>
      <c r="O25" s="37">
        <f t="shared" si="0"/>
        <v>0</v>
      </c>
    </row>
    <row r="26" spans="1:15" x14ac:dyDescent="0.35">
      <c r="A26" s="14">
        <v>6</v>
      </c>
      <c r="B26" s="247" t="s">
        <v>312</v>
      </c>
      <c r="C26" s="36" t="s">
        <v>20</v>
      </c>
      <c r="D26" s="164" t="s">
        <v>54</v>
      </c>
      <c r="E26" s="37">
        <v>2160</v>
      </c>
      <c r="F26" s="182">
        <v>1500</v>
      </c>
      <c r="G26" s="161"/>
      <c r="H26" s="161"/>
      <c r="I26" s="37">
        <v>660</v>
      </c>
      <c r="J26" s="36"/>
      <c r="K26" s="36"/>
      <c r="L26" s="36"/>
      <c r="M26" s="36"/>
      <c r="N26" s="36"/>
      <c r="O26" s="37">
        <v>0</v>
      </c>
    </row>
    <row r="27" spans="1:15" x14ac:dyDescent="0.35">
      <c r="A27" s="14">
        <v>7</v>
      </c>
      <c r="B27" s="247" t="s">
        <v>315</v>
      </c>
      <c r="C27" s="36" t="s">
        <v>20</v>
      </c>
      <c r="D27" s="164" t="s">
        <v>54</v>
      </c>
      <c r="E27" s="37">
        <v>2400</v>
      </c>
      <c r="F27" s="182">
        <v>2400</v>
      </c>
      <c r="G27" s="36"/>
      <c r="H27" s="36"/>
      <c r="I27" s="36"/>
      <c r="J27" s="36"/>
      <c r="K27" s="36"/>
      <c r="L27" s="36"/>
      <c r="M27" s="36"/>
      <c r="N27" s="36"/>
      <c r="O27" s="37">
        <f t="shared" si="0"/>
        <v>0</v>
      </c>
    </row>
    <row r="28" spans="1:15" x14ac:dyDescent="0.35">
      <c r="A28" s="14">
        <v>8</v>
      </c>
      <c r="B28" s="248" t="s">
        <v>316</v>
      </c>
      <c r="C28" s="41" t="s">
        <v>20</v>
      </c>
      <c r="D28" s="164" t="s">
        <v>54</v>
      </c>
      <c r="E28" s="37">
        <v>2400</v>
      </c>
      <c r="F28" s="182">
        <v>2400</v>
      </c>
      <c r="G28" s="36"/>
      <c r="H28" s="36"/>
      <c r="I28" s="36"/>
      <c r="J28" s="36"/>
      <c r="K28" s="36"/>
      <c r="L28" s="36"/>
      <c r="M28" s="36"/>
      <c r="N28" s="36"/>
      <c r="O28" s="37">
        <f t="shared" si="0"/>
        <v>0</v>
      </c>
    </row>
    <row r="29" spans="1:15" x14ac:dyDescent="0.35">
      <c r="A29" s="14">
        <v>9</v>
      </c>
      <c r="B29" s="248" t="s">
        <v>317</v>
      </c>
      <c r="C29" s="41" t="s">
        <v>20</v>
      </c>
      <c r="D29" s="164" t="s">
        <v>54</v>
      </c>
      <c r="E29" s="37">
        <v>2400</v>
      </c>
      <c r="F29" s="182">
        <v>2400</v>
      </c>
      <c r="G29" s="36"/>
      <c r="H29" s="36"/>
      <c r="I29" s="36"/>
      <c r="J29" s="36"/>
      <c r="K29" s="36"/>
      <c r="L29" s="36"/>
      <c r="M29" s="36"/>
      <c r="N29" s="36"/>
      <c r="O29" s="37">
        <f t="shared" si="0"/>
        <v>0</v>
      </c>
    </row>
    <row r="30" spans="1:15" x14ac:dyDescent="0.35">
      <c r="A30" s="14">
        <v>10</v>
      </c>
      <c r="B30" s="248" t="s">
        <v>318</v>
      </c>
      <c r="C30" s="41" t="s">
        <v>20</v>
      </c>
      <c r="D30" s="164" t="s">
        <v>54</v>
      </c>
      <c r="E30" s="37">
        <v>2400</v>
      </c>
      <c r="F30" s="182"/>
      <c r="G30" s="36"/>
      <c r="H30" s="36"/>
      <c r="I30" s="36"/>
      <c r="J30" s="36"/>
      <c r="K30" s="36"/>
      <c r="L30" s="36"/>
      <c r="M30" s="36"/>
      <c r="N30" s="36"/>
      <c r="O30" s="37">
        <f t="shared" si="0"/>
        <v>2400</v>
      </c>
    </row>
    <row r="31" spans="1:15" x14ac:dyDescent="0.35">
      <c r="A31" s="14">
        <v>11</v>
      </c>
      <c r="B31" s="248" t="s">
        <v>313</v>
      </c>
      <c r="C31" s="41" t="s">
        <v>22</v>
      </c>
      <c r="D31" s="164" t="s">
        <v>54</v>
      </c>
      <c r="E31" s="37">
        <v>2160</v>
      </c>
      <c r="F31" s="182">
        <v>2160</v>
      </c>
      <c r="G31" s="36"/>
      <c r="H31" s="36"/>
      <c r="I31" s="36"/>
      <c r="J31" s="36"/>
      <c r="K31" s="36"/>
      <c r="L31" s="36"/>
      <c r="M31" s="36"/>
      <c r="N31" s="36"/>
      <c r="O31" s="37">
        <v>0</v>
      </c>
    </row>
    <row r="32" spans="1:15" x14ac:dyDescent="0.35">
      <c r="A32" s="14">
        <v>12</v>
      </c>
      <c r="B32" s="248" t="s">
        <v>314</v>
      </c>
      <c r="C32" s="41" t="s">
        <v>22</v>
      </c>
      <c r="D32" s="164" t="s">
        <v>54</v>
      </c>
      <c r="E32" s="37">
        <v>2400</v>
      </c>
      <c r="F32" s="182">
        <v>2400</v>
      </c>
      <c r="G32" s="36"/>
      <c r="H32" s="36"/>
      <c r="I32" s="36"/>
      <c r="J32" s="36"/>
      <c r="K32" s="36"/>
      <c r="L32" s="36"/>
      <c r="M32" s="36"/>
      <c r="N32" s="36"/>
      <c r="O32" s="37">
        <f t="shared" si="0"/>
        <v>0</v>
      </c>
    </row>
    <row r="33" spans="1:15" x14ac:dyDescent="0.35">
      <c r="A33" s="14">
        <v>13</v>
      </c>
      <c r="B33" s="248" t="s">
        <v>331</v>
      </c>
      <c r="C33" s="41" t="s">
        <v>20</v>
      </c>
      <c r="D33" s="164" t="s">
        <v>21</v>
      </c>
      <c r="E33" s="37">
        <v>2400</v>
      </c>
      <c r="F33" s="182">
        <v>2400</v>
      </c>
      <c r="G33" s="36"/>
      <c r="H33" s="36"/>
      <c r="I33" s="36"/>
      <c r="J33" s="36"/>
      <c r="K33" s="36"/>
      <c r="L33" s="36"/>
      <c r="M33" s="36"/>
      <c r="N33" s="36"/>
      <c r="O33" s="37">
        <f t="shared" si="0"/>
        <v>0</v>
      </c>
    </row>
    <row r="34" spans="1:15" x14ac:dyDescent="0.35">
      <c r="A34" s="14">
        <v>14</v>
      </c>
      <c r="B34" s="248" t="s">
        <v>448</v>
      </c>
      <c r="C34" s="41" t="s">
        <v>22</v>
      </c>
      <c r="D34" s="164" t="s">
        <v>21</v>
      </c>
      <c r="E34" s="37">
        <v>2400</v>
      </c>
      <c r="F34" s="182">
        <v>1200</v>
      </c>
      <c r="G34" s="36"/>
      <c r="H34" s="36"/>
      <c r="I34" s="36"/>
      <c r="J34" s="36"/>
      <c r="K34" s="36"/>
      <c r="L34" s="36"/>
      <c r="M34" s="36"/>
      <c r="N34" s="36"/>
      <c r="O34" s="37">
        <f t="shared" si="0"/>
        <v>1200</v>
      </c>
    </row>
    <row r="35" spans="1:15" x14ac:dyDescent="0.35">
      <c r="A35" s="14">
        <v>15</v>
      </c>
      <c r="B35" s="248" t="s">
        <v>449</v>
      </c>
      <c r="C35" s="41" t="s">
        <v>22</v>
      </c>
      <c r="D35" s="164" t="s">
        <v>21</v>
      </c>
      <c r="E35" s="37">
        <v>2160</v>
      </c>
      <c r="F35" s="182">
        <v>1200</v>
      </c>
      <c r="G35" s="36"/>
      <c r="H35" s="36"/>
      <c r="I35" s="37">
        <v>960</v>
      </c>
      <c r="J35" s="36"/>
      <c r="K35" s="36"/>
      <c r="L35" s="36"/>
      <c r="M35" s="36"/>
      <c r="N35" s="36"/>
      <c r="O35" s="37">
        <v>0</v>
      </c>
    </row>
    <row r="36" spans="1:15" x14ac:dyDescent="0.35">
      <c r="A36" s="14">
        <v>16</v>
      </c>
      <c r="B36" s="248" t="s">
        <v>332</v>
      </c>
      <c r="C36" s="41" t="s">
        <v>22</v>
      </c>
      <c r="D36" s="164" t="s">
        <v>21</v>
      </c>
      <c r="E36" s="37">
        <v>2160</v>
      </c>
      <c r="F36" s="182">
        <v>2000</v>
      </c>
      <c r="G36" s="36"/>
      <c r="H36" s="36"/>
      <c r="I36" s="37">
        <v>160</v>
      </c>
      <c r="J36" s="36"/>
      <c r="K36" s="36"/>
      <c r="L36" s="36"/>
      <c r="M36" s="36"/>
      <c r="N36" s="36"/>
      <c r="O36" s="37">
        <v>0</v>
      </c>
    </row>
    <row r="37" spans="1:15" x14ac:dyDescent="0.35">
      <c r="A37" s="14">
        <v>15</v>
      </c>
      <c r="B37" s="248" t="s">
        <v>333</v>
      </c>
      <c r="C37" s="41" t="s">
        <v>20</v>
      </c>
      <c r="D37" s="164" t="s">
        <v>54</v>
      </c>
      <c r="E37" s="37">
        <v>2160</v>
      </c>
      <c r="F37" s="182">
        <v>2160</v>
      </c>
      <c r="G37" s="36"/>
      <c r="H37" s="36"/>
      <c r="I37" s="36"/>
      <c r="J37" s="36"/>
      <c r="K37" s="36"/>
      <c r="L37" s="36"/>
      <c r="M37" s="36"/>
      <c r="N37" s="36"/>
      <c r="O37" s="37">
        <v>0</v>
      </c>
    </row>
    <row r="38" spans="1:15" x14ac:dyDescent="0.35">
      <c r="A38" s="14">
        <v>16</v>
      </c>
      <c r="B38" s="248" t="s">
        <v>334</v>
      </c>
      <c r="C38" s="41" t="s">
        <v>20</v>
      </c>
      <c r="D38" s="164" t="s">
        <v>54</v>
      </c>
      <c r="E38" s="37">
        <v>2400</v>
      </c>
      <c r="F38" s="182">
        <v>2400</v>
      </c>
      <c r="G38" s="36"/>
      <c r="H38" s="36"/>
      <c r="I38" s="36"/>
      <c r="J38" s="36"/>
      <c r="K38" s="36"/>
      <c r="L38" s="36"/>
      <c r="M38" s="36"/>
      <c r="N38" s="36"/>
      <c r="O38" s="37">
        <f t="shared" si="0"/>
        <v>0</v>
      </c>
    </row>
    <row r="39" spans="1:15" x14ac:dyDescent="0.35">
      <c r="A39" s="14">
        <v>17</v>
      </c>
      <c r="B39" s="248" t="s">
        <v>335</v>
      </c>
      <c r="C39" s="41" t="s">
        <v>20</v>
      </c>
      <c r="D39" s="164" t="s">
        <v>54</v>
      </c>
      <c r="E39" s="37">
        <v>2400</v>
      </c>
      <c r="F39" s="182">
        <v>2400</v>
      </c>
      <c r="G39" s="36"/>
      <c r="H39" s="36"/>
      <c r="I39" s="36"/>
      <c r="J39" s="36"/>
      <c r="K39" s="36"/>
      <c r="L39" s="36"/>
      <c r="M39" s="36"/>
      <c r="N39" s="36"/>
      <c r="O39" s="37">
        <v>0</v>
      </c>
    </row>
    <row r="40" spans="1:15" x14ac:dyDescent="0.35">
      <c r="A40" s="14">
        <v>18</v>
      </c>
      <c r="B40" s="248" t="s">
        <v>437</v>
      </c>
      <c r="C40" s="41" t="s">
        <v>20</v>
      </c>
      <c r="D40" s="164" t="s">
        <v>21</v>
      </c>
      <c r="E40" s="37">
        <v>2400</v>
      </c>
      <c r="F40" s="182">
        <v>1200</v>
      </c>
      <c r="G40" s="36"/>
      <c r="H40" s="36"/>
      <c r="I40" s="37"/>
      <c r="J40" s="36"/>
      <c r="K40" s="36"/>
      <c r="L40" s="36"/>
      <c r="M40" s="36"/>
      <c r="N40" s="36"/>
      <c r="O40" s="37">
        <v>0</v>
      </c>
    </row>
    <row r="41" spans="1:15" ht="15" thickBot="1" x14ac:dyDescent="0.4">
      <c r="A41" s="14">
        <v>19</v>
      </c>
      <c r="B41" s="49" t="s">
        <v>438</v>
      </c>
      <c r="C41" s="14" t="s">
        <v>22</v>
      </c>
      <c r="D41" s="17" t="s">
        <v>54</v>
      </c>
      <c r="E41" s="160">
        <v>2160</v>
      </c>
      <c r="F41" s="178">
        <v>1600</v>
      </c>
      <c r="G41" s="7"/>
      <c r="H41" s="7"/>
      <c r="I41" s="7"/>
      <c r="J41" s="7"/>
      <c r="K41" s="7"/>
      <c r="L41" s="7"/>
      <c r="M41" s="7"/>
      <c r="N41" s="56"/>
      <c r="O41" s="46">
        <v>560</v>
      </c>
    </row>
    <row r="42" spans="1:15" ht="15" thickBot="1" x14ac:dyDescent="0.4">
      <c r="A42" s="14"/>
      <c r="B42" s="89"/>
      <c r="C42" s="52"/>
      <c r="D42" s="53"/>
      <c r="F42" s="187">
        <f>SUM(F21:F41)</f>
        <v>38320</v>
      </c>
      <c r="G42" s="55"/>
      <c r="H42" s="55"/>
      <c r="I42" s="56"/>
      <c r="J42" s="56"/>
      <c r="K42" s="56"/>
      <c r="L42" s="56"/>
      <c r="M42" s="88"/>
      <c r="N42" s="5"/>
      <c r="O42" s="92">
        <f>SUM(O21:O41)</f>
        <v>4160</v>
      </c>
    </row>
    <row r="43" spans="1:15" ht="15" thickBot="1" x14ac:dyDescent="0.4">
      <c r="A43" s="14"/>
      <c r="B43" s="249" t="s">
        <v>25</v>
      </c>
      <c r="C43" s="99"/>
      <c r="D43" s="167"/>
      <c r="E43" s="210"/>
      <c r="F43" s="188"/>
      <c r="G43" s="100"/>
      <c r="H43" s="100"/>
      <c r="I43" s="100"/>
      <c r="J43" s="100"/>
      <c r="K43" s="100"/>
      <c r="L43" s="100"/>
      <c r="M43" s="100"/>
      <c r="N43" s="100"/>
      <c r="O43" s="101"/>
    </row>
    <row r="44" spans="1:15" x14ac:dyDescent="0.35">
      <c r="A44" s="14">
        <v>1</v>
      </c>
      <c r="B44" s="250" t="s">
        <v>410</v>
      </c>
      <c r="C44" s="58" t="s">
        <v>20</v>
      </c>
      <c r="D44" s="168" t="s">
        <v>54</v>
      </c>
      <c r="E44" s="211">
        <v>2400</v>
      </c>
      <c r="F44" s="189">
        <v>1200</v>
      </c>
      <c r="G44" s="60"/>
      <c r="H44" s="60"/>
      <c r="I44" s="59"/>
      <c r="J44" s="60"/>
      <c r="K44" s="60"/>
      <c r="L44" s="60"/>
      <c r="M44" s="60"/>
      <c r="N44" s="60"/>
      <c r="O44" s="59">
        <f t="shared" si="0"/>
        <v>1200</v>
      </c>
    </row>
    <row r="45" spans="1:15" x14ac:dyDescent="0.35">
      <c r="A45" s="14">
        <v>2</v>
      </c>
      <c r="B45" s="139" t="s">
        <v>138</v>
      </c>
      <c r="C45" s="43" t="s">
        <v>20</v>
      </c>
      <c r="D45" s="169" t="s">
        <v>54</v>
      </c>
      <c r="E45" s="211">
        <v>2400</v>
      </c>
      <c r="F45" s="190">
        <v>1200</v>
      </c>
      <c r="G45" s="45"/>
      <c r="H45" s="45"/>
      <c r="I45" s="44">
        <v>1200</v>
      </c>
      <c r="J45" s="45"/>
      <c r="K45" s="45"/>
      <c r="L45" s="45"/>
      <c r="M45" s="45"/>
      <c r="N45" s="45"/>
      <c r="O45" s="44">
        <f t="shared" si="0"/>
        <v>0</v>
      </c>
    </row>
    <row r="46" spans="1:15" x14ac:dyDescent="0.35">
      <c r="A46" s="14">
        <v>3</v>
      </c>
      <c r="B46" s="139" t="s">
        <v>411</v>
      </c>
      <c r="C46" s="43" t="s">
        <v>20</v>
      </c>
      <c r="D46" s="169" t="s">
        <v>54</v>
      </c>
      <c r="E46" s="211">
        <v>2400</v>
      </c>
      <c r="F46" s="190">
        <v>1500</v>
      </c>
      <c r="G46" s="45"/>
      <c r="H46" s="45"/>
      <c r="I46" s="44">
        <v>900</v>
      </c>
      <c r="J46" s="45"/>
      <c r="K46" s="45"/>
      <c r="L46" s="45"/>
      <c r="M46" s="45"/>
      <c r="N46" s="45"/>
      <c r="O46" s="44">
        <f t="shared" si="0"/>
        <v>0</v>
      </c>
    </row>
    <row r="47" spans="1:15" x14ac:dyDescent="0.35">
      <c r="A47" s="14">
        <v>4</v>
      </c>
      <c r="B47" s="139" t="s">
        <v>322</v>
      </c>
      <c r="C47" s="43" t="s">
        <v>20</v>
      </c>
      <c r="D47" s="169" t="s">
        <v>54</v>
      </c>
      <c r="E47" s="211">
        <v>2400</v>
      </c>
      <c r="F47" s="190">
        <v>1900</v>
      </c>
      <c r="G47" s="45"/>
      <c r="H47" s="45"/>
      <c r="I47" s="45"/>
      <c r="J47" s="45"/>
      <c r="K47" s="45"/>
      <c r="L47" s="45"/>
      <c r="M47" s="45"/>
      <c r="N47" s="45"/>
      <c r="O47" s="44">
        <f t="shared" si="0"/>
        <v>500</v>
      </c>
    </row>
    <row r="48" spans="1:15" x14ac:dyDescent="0.35">
      <c r="A48" s="14">
        <v>5</v>
      </c>
      <c r="B48" s="139" t="s">
        <v>397</v>
      </c>
      <c r="C48" s="43" t="s">
        <v>20</v>
      </c>
      <c r="D48" s="169" t="s">
        <v>54</v>
      </c>
      <c r="E48" s="211">
        <v>2400</v>
      </c>
      <c r="F48" s="190">
        <v>2400</v>
      </c>
      <c r="G48" s="45"/>
      <c r="H48" s="45"/>
      <c r="I48" s="45"/>
      <c r="J48" s="45"/>
      <c r="K48" s="45"/>
      <c r="L48" s="45"/>
      <c r="M48" s="45"/>
      <c r="N48" s="45"/>
      <c r="O48" s="44">
        <f t="shared" si="0"/>
        <v>0</v>
      </c>
    </row>
    <row r="49" spans="1:15" x14ac:dyDescent="0.35">
      <c r="A49" s="14">
        <v>6</v>
      </c>
      <c r="B49" s="139" t="s">
        <v>398</v>
      </c>
      <c r="C49" s="43" t="s">
        <v>20</v>
      </c>
      <c r="D49" s="169" t="s">
        <v>54</v>
      </c>
      <c r="E49" s="211">
        <v>2400</v>
      </c>
      <c r="F49" s="190">
        <v>1000</v>
      </c>
      <c r="G49" s="45"/>
      <c r="H49" s="45"/>
      <c r="I49" s="45"/>
      <c r="J49" s="45"/>
      <c r="K49" s="45"/>
      <c r="L49" s="45"/>
      <c r="M49" s="45"/>
      <c r="N49" s="45"/>
      <c r="O49" s="44">
        <f t="shared" si="0"/>
        <v>1400</v>
      </c>
    </row>
    <row r="50" spans="1:15" x14ac:dyDescent="0.35">
      <c r="A50" s="14">
        <v>7</v>
      </c>
      <c r="B50" s="139" t="s">
        <v>399</v>
      </c>
      <c r="C50" s="43" t="s">
        <v>20</v>
      </c>
      <c r="D50" s="169" t="s">
        <v>54</v>
      </c>
      <c r="E50" s="211">
        <v>2400</v>
      </c>
      <c r="F50" s="190">
        <v>1200</v>
      </c>
      <c r="G50" s="45"/>
      <c r="H50" s="45"/>
      <c r="I50" s="44">
        <v>1200</v>
      </c>
      <c r="J50" s="45"/>
      <c r="K50" s="45"/>
      <c r="L50" s="45"/>
      <c r="M50" s="45"/>
      <c r="N50" s="45"/>
      <c r="O50" s="44">
        <f t="shared" si="0"/>
        <v>0</v>
      </c>
    </row>
    <row r="51" spans="1:15" x14ac:dyDescent="0.35">
      <c r="A51" s="14">
        <v>8</v>
      </c>
      <c r="B51" s="139" t="s">
        <v>417</v>
      </c>
      <c r="C51" s="43" t="s">
        <v>20</v>
      </c>
      <c r="D51" s="169" t="s">
        <v>54</v>
      </c>
      <c r="E51" s="211">
        <v>2400</v>
      </c>
      <c r="F51" s="190">
        <v>1200</v>
      </c>
      <c r="G51" s="45"/>
      <c r="H51" s="45"/>
      <c r="I51" s="44">
        <v>1200</v>
      </c>
      <c r="J51" s="45"/>
      <c r="K51" s="45"/>
      <c r="L51" s="45"/>
      <c r="M51" s="45"/>
      <c r="N51" s="45"/>
      <c r="O51" s="44">
        <f t="shared" si="0"/>
        <v>0</v>
      </c>
    </row>
    <row r="52" spans="1:15" x14ac:dyDescent="0.35">
      <c r="A52" s="14">
        <v>9</v>
      </c>
      <c r="B52" s="139" t="s">
        <v>402</v>
      </c>
      <c r="C52" s="43" t="s">
        <v>20</v>
      </c>
      <c r="D52" s="169" t="s">
        <v>21</v>
      </c>
      <c r="E52" s="211">
        <v>2400</v>
      </c>
      <c r="F52" s="190">
        <v>2400</v>
      </c>
      <c r="G52" s="45"/>
      <c r="H52" s="45"/>
      <c r="I52" s="45"/>
      <c r="J52" s="45"/>
      <c r="K52" s="45"/>
      <c r="L52" s="45"/>
      <c r="M52" s="45"/>
      <c r="N52" s="45"/>
      <c r="O52" s="44">
        <f t="shared" si="0"/>
        <v>0</v>
      </c>
    </row>
    <row r="53" spans="1:15" x14ac:dyDescent="0.35">
      <c r="A53" s="14">
        <v>10</v>
      </c>
      <c r="B53" s="139" t="s">
        <v>404</v>
      </c>
      <c r="C53" s="43" t="s">
        <v>20</v>
      </c>
      <c r="D53" s="169" t="s">
        <v>54</v>
      </c>
      <c r="E53" s="211">
        <v>2400</v>
      </c>
      <c r="F53" s="190">
        <v>2400</v>
      </c>
      <c r="G53" s="45"/>
      <c r="H53" s="45"/>
      <c r="I53" s="45"/>
      <c r="J53" s="45"/>
      <c r="K53" s="45"/>
      <c r="L53" s="45"/>
      <c r="M53" s="45"/>
      <c r="N53" s="45"/>
      <c r="O53" s="44">
        <f t="shared" si="0"/>
        <v>0</v>
      </c>
    </row>
    <row r="54" spans="1:15" x14ac:dyDescent="0.35">
      <c r="A54" s="14">
        <v>11</v>
      </c>
      <c r="B54" s="139" t="s">
        <v>412</v>
      </c>
      <c r="C54" s="43" t="s">
        <v>20</v>
      </c>
      <c r="D54" s="169" t="s">
        <v>54</v>
      </c>
      <c r="E54" s="211">
        <v>2400</v>
      </c>
      <c r="F54" s="190">
        <v>1700</v>
      </c>
      <c r="G54" s="45"/>
      <c r="H54" s="45"/>
      <c r="I54" s="44">
        <v>700</v>
      </c>
      <c r="J54" s="45"/>
      <c r="K54" s="45"/>
      <c r="L54" s="45"/>
      <c r="M54" s="45"/>
      <c r="N54" s="45"/>
      <c r="O54" s="44">
        <f t="shared" si="0"/>
        <v>0</v>
      </c>
    </row>
    <row r="55" spans="1:15" x14ac:dyDescent="0.35">
      <c r="A55" s="14">
        <v>12</v>
      </c>
      <c r="B55" s="139" t="s">
        <v>413</v>
      </c>
      <c r="C55" s="43" t="s">
        <v>20</v>
      </c>
      <c r="D55" s="169" t="s">
        <v>54</v>
      </c>
      <c r="E55" s="211">
        <v>2160</v>
      </c>
      <c r="F55" s="190">
        <v>2160</v>
      </c>
      <c r="G55" s="45"/>
      <c r="H55" s="45"/>
      <c r="I55" s="45"/>
      <c r="J55" s="45"/>
      <c r="K55" s="45"/>
      <c r="L55" s="45"/>
      <c r="M55" s="45"/>
      <c r="N55" s="45"/>
      <c r="O55" s="44">
        <v>0</v>
      </c>
    </row>
    <row r="56" spans="1:15" x14ac:dyDescent="0.35">
      <c r="A56" s="14">
        <v>13</v>
      </c>
      <c r="B56" s="139" t="s">
        <v>403</v>
      </c>
      <c r="C56" s="43" t="s">
        <v>22</v>
      </c>
      <c r="D56" s="169" t="s">
        <v>54</v>
      </c>
      <c r="E56" s="211">
        <v>2400</v>
      </c>
      <c r="F56" s="190">
        <v>1400</v>
      </c>
      <c r="G56" s="45"/>
      <c r="H56" s="45"/>
      <c r="I56" s="44">
        <v>1000</v>
      </c>
      <c r="J56" s="45"/>
      <c r="K56" s="45"/>
      <c r="L56" s="45"/>
      <c r="M56" s="45"/>
      <c r="N56" s="45"/>
      <c r="O56" s="44">
        <f t="shared" ref="O56:O129" si="2">2400-(F56+I56+L56)</f>
        <v>0</v>
      </c>
    </row>
    <row r="57" spans="1:15" x14ac:dyDescent="0.35">
      <c r="A57" s="14">
        <v>14</v>
      </c>
      <c r="B57" s="139" t="s">
        <v>409</v>
      </c>
      <c r="C57" s="43" t="s">
        <v>22</v>
      </c>
      <c r="D57" s="169" t="s">
        <v>54</v>
      </c>
      <c r="E57" s="211">
        <v>2400</v>
      </c>
      <c r="F57" s="190">
        <v>1200</v>
      </c>
      <c r="G57" s="45"/>
      <c r="H57" s="45"/>
      <c r="I57" s="44">
        <v>1200</v>
      </c>
      <c r="J57" s="45"/>
      <c r="K57" s="45"/>
      <c r="L57" s="45"/>
      <c r="M57" s="45"/>
      <c r="N57" s="45"/>
      <c r="O57" s="44">
        <f t="shared" si="2"/>
        <v>0</v>
      </c>
    </row>
    <row r="58" spans="1:15" x14ac:dyDescent="0.35">
      <c r="A58" s="14">
        <v>15</v>
      </c>
      <c r="B58" s="139" t="s">
        <v>408</v>
      </c>
      <c r="C58" s="43" t="s">
        <v>22</v>
      </c>
      <c r="D58" s="169" t="s">
        <v>54</v>
      </c>
      <c r="E58" s="211">
        <v>2400</v>
      </c>
      <c r="F58" s="190">
        <v>1650</v>
      </c>
      <c r="G58" s="45"/>
      <c r="H58" s="45"/>
      <c r="I58" s="44"/>
      <c r="J58" s="45"/>
      <c r="K58" s="45"/>
      <c r="L58" s="45"/>
      <c r="M58" s="45"/>
      <c r="N58" s="45"/>
      <c r="O58" s="44">
        <f t="shared" si="2"/>
        <v>750</v>
      </c>
    </row>
    <row r="59" spans="1:15" x14ac:dyDescent="0.35">
      <c r="A59" s="14">
        <v>16</v>
      </c>
      <c r="B59" s="139" t="s">
        <v>296</v>
      </c>
      <c r="C59" s="43" t="s">
        <v>22</v>
      </c>
      <c r="D59" s="169" t="s">
        <v>54</v>
      </c>
      <c r="E59" s="211">
        <v>2400</v>
      </c>
      <c r="F59" s="190">
        <v>1950</v>
      </c>
      <c r="G59" s="45"/>
      <c r="H59" s="45"/>
      <c r="I59" s="44">
        <v>450</v>
      </c>
      <c r="J59" s="45"/>
      <c r="K59" s="45"/>
      <c r="L59" s="45"/>
      <c r="M59" s="45"/>
      <c r="N59" s="45"/>
      <c r="O59" s="44">
        <f t="shared" si="2"/>
        <v>0</v>
      </c>
    </row>
    <row r="60" spans="1:15" x14ac:dyDescent="0.35">
      <c r="A60" s="14">
        <v>17</v>
      </c>
      <c r="B60" s="139" t="s">
        <v>319</v>
      </c>
      <c r="C60" s="43" t="s">
        <v>22</v>
      </c>
      <c r="D60" s="169" t="s">
        <v>54</v>
      </c>
      <c r="E60" s="211">
        <v>2160</v>
      </c>
      <c r="F60" s="190">
        <v>2160</v>
      </c>
      <c r="G60" s="45"/>
      <c r="H60" s="45"/>
      <c r="I60" s="45"/>
      <c r="J60" s="45"/>
      <c r="K60" s="45"/>
      <c r="L60" s="45"/>
      <c r="M60" s="45"/>
      <c r="N60" s="45"/>
      <c r="O60" s="44">
        <v>0</v>
      </c>
    </row>
    <row r="61" spans="1:15" x14ac:dyDescent="0.35">
      <c r="A61" s="14">
        <v>18</v>
      </c>
      <c r="B61" s="139" t="s">
        <v>400</v>
      </c>
      <c r="C61" s="43" t="s">
        <v>22</v>
      </c>
      <c r="D61" s="169" t="s">
        <v>54</v>
      </c>
      <c r="E61" s="211">
        <v>2400</v>
      </c>
      <c r="F61" s="190">
        <v>2400</v>
      </c>
      <c r="G61" s="45"/>
      <c r="H61" s="45"/>
      <c r="I61" s="45"/>
      <c r="J61" s="45"/>
      <c r="K61" s="45"/>
      <c r="L61" s="45"/>
      <c r="M61" s="45"/>
      <c r="N61" s="45"/>
      <c r="O61" s="44">
        <f t="shared" si="2"/>
        <v>0</v>
      </c>
    </row>
    <row r="62" spans="1:15" x14ac:dyDescent="0.35">
      <c r="A62" s="14">
        <v>19</v>
      </c>
      <c r="B62" s="139" t="s">
        <v>401</v>
      </c>
      <c r="C62" s="43" t="s">
        <v>22</v>
      </c>
      <c r="D62" s="169" t="s">
        <v>54</v>
      </c>
      <c r="E62" s="211">
        <v>2400</v>
      </c>
      <c r="F62" s="190">
        <v>1500</v>
      </c>
      <c r="G62" s="45"/>
      <c r="H62" s="45"/>
      <c r="I62" s="44">
        <v>900</v>
      </c>
      <c r="J62" s="45"/>
      <c r="K62" s="45"/>
      <c r="L62" s="45"/>
      <c r="M62" s="45"/>
      <c r="N62" s="45"/>
      <c r="O62" s="44">
        <v>0</v>
      </c>
    </row>
    <row r="63" spans="1:15" x14ac:dyDescent="0.35">
      <c r="A63" s="14">
        <v>20</v>
      </c>
      <c r="B63" s="139" t="s">
        <v>414</v>
      </c>
      <c r="C63" s="43" t="s">
        <v>22</v>
      </c>
      <c r="D63" s="169" t="s">
        <v>54</v>
      </c>
      <c r="E63" s="211">
        <v>2160</v>
      </c>
      <c r="F63" s="190">
        <v>1200</v>
      </c>
      <c r="G63" s="45"/>
      <c r="H63" s="45"/>
      <c r="I63" s="44">
        <v>960</v>
      </c>
      <c r="J63" s="45"/>
      <c r="K63" s="45"/>
      <c r="L63" s="45"/>
      <c r="M63" s="45"/>
      <c r="N63" s="45"/>
      <c r="O63" s="44">
        <v>0</v>
      </c>
    </row>
    <row r="64" spans="1:15" x14ac:dyDescent="0.35">
      <c r="A64" s="14">
        <v>21</v>
      </c>
      <c r="B64" s="139" t="s">
        <v>435</v>
      </c>
      <c r="C64" s="43" t="s">
        <v>22</v>
      </c>
      <c r="D64" s="169"/>
      <c r="E64" s="211">
        <v>2400</v>
      </c>
      <c r="F64" s="190">
        <v>1200</v>
      </c>
      <c r="G64" s="45"/>
      <c r="H64" s="45"/>
      <c r="I64" s="45"/>
      <c r="J64" s="45"/>
      <c r="K64" s="45"/>
      <c r="L64" s="45"/>
      <c r="M64" s="45"/>
      <c r="N64" s="45"/>
      <c r="O64" s="44">
        <v>1200</v>
      </c>
    </row>
    <row r="65" spans="1:15" x14ac:dyDescent="0.35">
      <c r="A65" s="14">
        <v>22</v>
      </c>
      <c r="B65" s="139" t="s">
        <v>436</v>
      </c>
      <c r="C65" s="43" t="s">
        <v>22</v>
      </c>
      <c r="D65" s="169"/>
      <c r="E65" s="211">
        <v>2400</v>
      </c>
      <c r="F65" s="190">
        <v>2400</v>
      </c>
      <c r="G65" s="45"/>
      <c r="H65" s="45"/>
      <c r="I65" s="45"/>
      <c r="J65" s="45"/>
      <c r="K65" s="45"/>
      <c r="L65" s="45"/>
      <c r="M65" s="45"/>
      <c r="N65" s="45"/>
      <c r="O65" s="44">
        <v>0</v>
      </c>
    </row>
    <row r="66" spans="1:15" x14ac:dyDescent="0.35">
      <c r="A66" s="14"/>
      <c r="B66" s="139"/>
      <c r="C66" s="43" t="s">
        <v>22</v>
      </c>
      <c r="D66" s="169"/>
      <c r="E66" s="211"/>
      <c r="F66" s="190"/>
      <c r="G66" s="45"/>
      <c r="H66" s="45"/>
      <c r="I66" s="45"/>
      <c r="J66" s="45"/>
      <c r="K66" s="45"/>
      <c r="L66" s="45"/>
      <c r="M66" s="45"/>
      <c r="N66" s="45"/>
      <c r="O66" s="44">
        <v>0</v>
      </c>
    </row>
    <row r="67" spans="1:15" ht="15" thickBot="1" x14ac:dyDescent="0.4">
      <c r="A67" s="14"/>
      <c r="B67" s="49"/>
      <c r="C67" s="14" t="s">
        <v>22</v>
      </c>
      <c r="D67" s="17"/>
      <c r="F67" s="178"/>
      <c r="G67" s="7"/>
      <c r="H67" s="7"/>
      <c r="I67" s="7"/>
      <c r="J67" s="7"/>
      <c r="K67" s="7"/>
      <c r="L67" s="7"/>
      <c r="M67" s="7"/>
      <c r="N67" s="56"/>
      <c r="O67" s="46">
        <v>0</v>
      </c>
    </row>
    <row r="68" spans="1:15" ht="15" thickBot="1" x14ac:dyDescent="0.4">
      <c r="A68" s="14"/>
      <c r="B68" s="89"/>
      <c r="C68" s="52"/>
      <c r="D68" s="53"/>
      <c r="F68" s="191">
        <f>SUM(F44:F67)</f>
        <v>37320</v>
      </c>
      <c r="G68" s="55"/>
      <c r="H68" s="55"/>
      <c r="I68" s="56"/>
      <c r="J68" s="56"/>
      <c r="K68" s="56"/>
      <c r="L68" s="56"/>
      <c r="M68" s="88"/>
      <c r="N68" s="5"/>
      <c r="O68" s="92">
        <f>SUM(O44:O67)</f>
        <v>5050</v>
      </c>
    </row>
    <row r="69" spans="1:15" ht="15" thickBot="1" x14ac:dyDescent="0.4">
      <c r="A69" s="14"/>
      <c r="B69" s="251" t="s">
        <v>295</v>
      </c>
      <c r="C69" s="94"/>
      <c r="D69" s="170"/>
      <c r="E69" s="212"/>
      <c r="F69" s="192"/>
      <c r="G69" s="95"/>
      <c r="H69" s="95"/>
      <c r="I69" s="95"/>
      <c r="J69" s="95"/>
      <c r="K69" s="95"/>
      <c r="L69" s="95"/>
      <c r="M69" s="95"/>
      <c r="N69" s="95"/>
      <c r="O69" s="96"/>
    </row>
    <row r="70" spans="1:15" x14ac:dyDescent="0.35">
      <c r="A70" s="14">
        <v>1</v>
      </c>
      <c r="B70" s="250" t="s">
        <v>381</v>
      </c>
      <c r="C70" s="58" t="s">
        <v>22</v>
      </c>
      <c r="D70" s="168" t="s">
        <v>54</v>
      </c>
      <c r="E70" s="211">
        <v>2400</v>
      </c>
      <c r="F70" s="189">
        <v>2400</v>
      </c>
      <c r="G70" s="60"/>
      <c r="H70" s="60"/>
      <c r="I70" s="60"/>
      <c r="J70" s="60"/>
      <c r="K70" s="60"/>
      <c r="L70" s="60"/>
      <c r="M70" s="60"/>
      <c r="N70" s="60"/>
      <c r="O70" s="59">
        <v>0</v>
      </c>
    </row>
    <row r="71" spans="1:15" x14ac:dyDescent="0.35">
      <c r="A71" s="14">
        <v>2</v>
      </c>
      <c r="B71" s="139" t="s">
        <v>376</v>
      </c>
      <c r="C71" s="43" t="s">
        <v>22</v>
      </c>
      <c r="D71" s="169" t="s">
        <v>21</v>
      </c>
      <c r="E71" s="211">
        <v>2400</v>
      </c>
      <c r="F71" s="190">
        <v>2400</v>
      </c>
      <c r="G71" s="45"/>
      <c r="H71" s="45"/>
      <c r="I71" s="45"/>
      <c r="J71" s="45"/>
      <c r="K71" s="45"/>
      <c r="L71" s="45"/>
      <c r="M71" s="45"/>
      <c r="N71" s="45"/>
      <c r="O71" s="44">
        <f t="shared" si="2"/>
        <v>0</v>
      </c>
    </row>
    <row r="72" spans="1:15" x14ac:dyDescent="0.35">
      <c r="A72" s="14">
        <v>3</v>
      </c>
      <c r="B72" s="139" t="s">
        <v>380</v>
      </c>
      <c r="C72" s="43" t="s">
        <v>22</v>
      </c>
      <c r="D72" s="169" t="s">
        <v>54</v>
      </c>
      <c r="E72" s="211">
        <v>2400</v>
      </c>
      <c r="F72" s="190">
        <v>2400</v>
      </c>
      <c r="G72" s="45"/>
      <c r="H72" s="45"/>
      <c r="I72" s="45"/>
      <c r="J72" s="45"/>
      <c r="K72" s="45"/>
      <c r="L72" s="45"/>
      <c r="M72" s="45"/>
      <c r="N72" s="45"/>
      <c r="O72" s="44">
        <f t="shared" si="2"/>
        <v>0</v>
      </c>
    </row>
    <row r="73" spans="1:15" x14ac:dyDescent="0.35">
      <c r="A73" s="14">
        <v>4</v>
      </c>
      <c r="B73" s="139" t="s">
        <v>382</v>
      </c>
      <c r="C73" s="43" t="s">
        <v>22</v>
      </c>
      <c r="D73" s="169" t="s">
        <v>54</v>
      </c>
      <c r="E73" s="211">
        <v>2400</v>
      </c>
      <c r="F73" s="190">
        <v>1200</v>
      </c>
      <c r="G73" s="45"/>
      <c r="H73" s="45"/>
      <c r="I73" s="44">
        <v>1200</v>
      </c>
      <c r="J73" s="45"/>
      <c r="K73" s="45"/>
      <c r="L73" s="45"/>
      <c r="M73" s="45"/>
      <c r="N73" s="45"/>
      <c r="O73" s="44">
        <v>0</v>
      </c>
    </row>
    <row r="74" spans="1:15" x14ac:dyDescent="0.35">
      <c r="A74" s="14">
        <v>5</v>
      </c>
      <c r="B74" s="139" t="s">
        <v>383</v>
      </c>
      <c r="C74" s="43" t="s">
        <v>22</v>
      </c>
      <c r="D74" s="169" t="s">
        <v>21</v>
      </c>
      <c r="E74" s="211">
        <v>2400</v>
      </c>
      <c r="F74" s="190">
        <v>1200</v>
      </c>
      <c r="G74" s="45"/>
      <c r="H74" s="44"/>
      <c r="I74" s="44">
        <v>1000</v>
      </c>
      <c r="J74" s="45"/>
      <c r="K74" s="45"/>
      <c r="L74" s="45">
        <v>200</v>
      </c>
      <c r="M74" s="45"/>
      <c r="N74" s="45"/>
      <c r="O74" s="44">
        <f t="shared" si="2"/>
        <v>0</v>
      </c>
    </row>
    <row r="75" spans="1:15" x14ac:dyDescent="0.35">
      <c r="A75" s="14">
        <v>6</v>
      </c>
      <c r="B75" s="139" t="s">
        <v>384</v>
      </c>
      <c r="C75" s="43" t="s">
        <v>22</v>
      </c>
      <c r="D75" s="169" t="s">
        <v>54</v>
      </c>
      <c r="E75" s="211">
        <v>2400</v>
      </c>
      <c r="F75" s="190">
        <v>2400</v>
      </c>
      <c r="G75" s="45"/>
      <c r="H75" s="45"/>
      <c r="I75" s="45"/>
      <c r="J75" s="45"/>
      <c r="K75" s="45"/>
      <c r="L75" s="45"/>
      <c r="M75" s="45"/>
      <c r="N75" s="45"/>
      <c r="O75" s="44">
        <f t="shared" si="2"/>
        <v>0</v>
      </c>
    </row>
    <row r="76" spans="1:15" x14ac:dyDescent="0.35">
      <c r="A76" s="14">
        <v>7</v>
      </c>
      <c r="B76" s="139" t="s">
        <v>425</v>
      </c>
      <c r="C76" s="43" t="s">
        <v>22</v>
      </c>
      <c r="D76" s="169" t="s">
        <v>21</v>
      </c>
      <c r="E76" s="211">
        <v>2160</v>
      </c>
      <c r="F76" s="190">
        <v>1080</v>
      </c>
      <c r="G76" s="45"/>
      <c r="H76" s="45"/>
      <c r="I76" s="44">
        <v>1080</v>
      </c>
      <c r="J76" s="45"/>
      <c r="K76" s="45"/>
      <c r="L76" s="45"/>
      <c r="M76" s="45"/>
      <c r="N76" s="45"/>
      <c r="O76" s="44">
        <v>0</v>
      </c>
    </row>
    <row r="77" spans="1:15" x14ac:dyDescent="0.35">
      <c r="A77" s="14">
        <v>8</v>
      </c>
      <c r="B77" s="139" t="s">
        <v>385</v>
      </c>
      <c r="C77" s="43" t="s">
        <v>22</v>
      </c>
      <c r="D77" s="169" t="s">
        <v>54</v>
      </c>
      <c r="E77" s="211">
        <v>2160</v>
      </c>
      <c r="F77" s="190">
        <v>2160</v>
      </c>
      <c r="G77" s="45"/>
      <c r="H77" s="45"/>
      <c r="I77" s="45"/>
      <c r="J77" s="45"/>
      <c r="K77" s="45"/>
      <c r="L77" s="45"/>
      <c r="M77" s="45"/>
      <c r="N77" s="45"/>
      <c r="O77" s="44">
        <v>0</v>
      </c>
    </row>
    <row r="78" spans="1:15" x14ac:dyDescent="0.35">
      <c r="A78" s="14">
        <v>9</v>
      </c>
      <c r="B78" s="139" t="s">
        <v>392</v>
      </c>
      <c r="C78" s="43" t="s">
        <v>22</v>
      </c>
      <c r="D78" s="169" t="s">
        <v>54</v>
      </c>
      <c r="E78" s="211">
        <v>2400</v>
      </c>
      <c r="F78" s="190">
        <v>2400</v>
      </c>
      <c r="G78" s="45"/>
      <c r="H78" s="45"/>
      <c r="I78" s="45"/>
      <c r="J78" s="45"/>
      <c r="K78" s="45"/>
      <c r="L78" s="45"/>
      <c r="M78" s="45"/>
      <c r="N78" s="45"/>
      <c r="O78" s="44">
        <f t="shared" si="2"/>
        <v>0</v>
      </c>
    </row>
    <row r="79" spans="1:15" x14ac:dyDescent="0.35">
      <c r="A79" s="14">
        <v>10</v>
      </c>
      <c r="B79" s="139" t="s">
        <v>386</v>
      </c>
      <c r="C79" s="43" t="s">
        <v>20</v>
      </c>
      <c r="D79" s="169" t="s">
        <v>54</v>
      </c>
      <c r="E79" s="211">
        <v>2400</v>
      </c>
      <c r="F79" s="190">
        <v>1200</v>
      </c>
      <c r="G79" s="45"/>
      <c r="H79" s="45"/>
      <c r="I79" s="44">
        <v>1200</v>
      </c>
      <c r="J79" s="45"/>
      <c r="K79" s="45"/>
      <c r="L79" s="45"/>
      <c r="M79" s="45"/>
      <c r="N79" s="45"/>
      <c r="O79" s="44">
        <f t="shared" si="2"/>
        <v>0</v>
      </c>
    </row>
    <row r="80" spans="1:15" x14ac:dyDescent="0.35">
      <c r="A80" s="14">
        <v>11</v>
      </c>
      <c r="B80" s="139" t="s">
        <v>387</v>
      </c>
      <c r="C80" s="43" t="s">
        <v>20</v>
      </c>
      <c r="D80" s="169" t="s">
        <v>21</v>
      </c>
      <c r="E80" s="211">
        <v>2400</v>
      </c>
      <c r="F80" s="190">
        <v>1200</v>
      </c>
      <c r="G80" s="45"/>
      <c r="H80" s="45"/>
      <c r="I80" s="45"/>
      <c r="J80" s="45"/>
      <c r="K80" s="45"/>
      <c r="L80" s="45"/>
      <c r="M80" s="45"/>
      <c r="N80" s="45"/>
      <c r="O80" s="44">
        <f t="shared" si="2"/>
        <v>1200</v>
      </c>
    </row>
    <row r="81" spans="1:15" x14ac:dyDescent="0.35">
      <c r="A81" s="14">
        <v>12</v>
      </c>
      <c r="B81" s="139" t="s">
        <v>388</v>
      </c>
      <c r="C81" s="43" t="s">
        <v>20</v>
      </c>
      <c r="D81" s="169" t="s">
        <v>54</v>
      </c>
      <c r="E81" s="211">
        <v>2400</v>
      </c>
      <c r="F81" s="190">
        <v>1200</v>
      </c>
      <c r="G81" s="45"/>
      <c r="H81" s="45"/>
      <c r="I81" s="44">
        <v>1200</v>
      </c>
      <c r="J81" s="45"/>
      <c r="K81" s="45"/>
      <c r="L81" s="45"/>
      <c r="M81" s="45"/>
      <c r="N81" s="45"/>
      <c r="O81" s="44">
        <f t="shared" si="2"/>
        <v>0</v>
      </c>
    </row>
    <row r="82" spans="1:15" x14ac:dyDescent="0.35">
      <c r="A82" s="14">
        <v>13</v>
      </c>
      <c r="B82" s="139" t="s">
        <v>389</v>
      </c>
      <c r="C82" s="43" t="s">
        <v>20</v>
      </c>
      <c r="D82" s="169" t="s">
        <v>54</v>
      </c>
      <c r="E82" s="211">
        <v>2400</v>
      </c>
      <c r="F82" s="190">
        <v>1850</v>
      </c>
      <c r="G82" s="45"/>
      <c r="H82" s="45"/>
      <c r="I82" s="44">
        <v>550</v>
      </c>
      <c r="J82" s="45"/>
      <c r="K82" s="45"/>
      <c r="L82" s="45"/>
      <c r="M82" s="45"/>
      <c r="N82" s="45"/>
      <c r="O82" s="44">
        <f t="shared" si="2"/>
        <v>0</v>
      </c>
    </row>
    <row r="83" spans="1:15" x14ac:dyDescent="0.35">
      <c r="A83" s="14">
        <v>14</v>
      </c>
      <c r="B83" s="139" t="s">
        <v>321</v>
      </c>
      <c r="C83" s="43" t="s">
        <v>20</v>
      </c>
      <c r="D83" s="169" t="s">
        <v>54</v>
      </c>
      <c r="E83" s="211">
        <v>2400</v>
      </c>
      <c r="F83" s="190">
        <v>1200</v>
      </c>
      <c r="G83" s="45"/>
      <c r="H83" s="45"/>
      <c r="I83" s="44">
        <v>1200</v>
      </c>
      <c r="J83" s="45"/>
      <c r="K83" s="45"/>
      <c r="L83" s="45"/>
      <c r="M83" s="45"/>
      <c r="N83" s="45"/>
      <c r="O83" s="44">
        <f t="shared" si="2"/>
        <v>0</v>
      </c>
    </row>
    <row r="84" spans="1:15" x14ac:dyDescent="0.35">
      <c r="A84" s="14">
        <v>15</v>
      </c>
      <c r="B84" s="139" t="s">
        <v>396</v>
      </c>
      <c r="C84" s="43" t="s">
        <v>20</v>
      </c>
      <c r="D84" s="169" t="s">
        <v>54</v>
      </c>
      <c r="E84" s="211">
        <v>2400</v>
      </c>
      <c r="F84" s="190">
        <v>1200</v>
      </c>
      <c r="G84" s="45"/>
      <c r="H84" s="45"/>
      <c r="I84" s="44">
        <v>1200</v>
      </c>
      <c r="J84" s="45"/>
      <c r="K84" s="45"/>
      <c r="L84" s="45"/>
      <c r="M84" s="45"/>
      <c r="N84" s="45"/>
      <c r="O84" s="44">
        <v>0</v>
      </c>
    </row>
    <row r="85" spans="1:15" x14ac:dyDescent="0.35">
      <c r="A85" s="14">
        <v>16</v>
      </c>
      <c r="B85" s="139" t="s">
        <v>390</v>
      </c>
      <c r="C85" s="43" t="s">
        <v>20</v>
      </c>
      <c r="D85" s="169" t="s">
        <v>54</v>
      </c>
      <c r="E85" s="211"/>
      <c r="F85" s="190"/>
      <c r="G85" s="45"/>
      <c r="H85" s="45"/>
      <c r="I85" s="44"/>
      <c r="J85" s="45"/>
      <c r="K85" s="45"/>
      <c r="L85" s="44"/>
      <c r="M85" s="45"/>
      <c r="N85" s="45"/>
      <c r="O85" s="44">
        <v>0</v>
      </c>
    </row>
    <row r="86" spans="1:15" x14ac:dyDescent="0.35">
      <c r="A86" s="14">
        <v>17</v>
      </c>
      <c r="B86" s="139" t="s">
        <v>395</v>
      </c>
      <c r="C86" s="43" t="s">
        <v>20</v>
      </c>
      <c r="D86" s="169" t="s">
        <v>54</v>
      </c>
      <c r="E86" s="211">
        <v>2400</v>
      </c>
      <c r="F86" s="190">
        <v>1200</v>
      </c>
      <c r="G86" s="45"/>
      <c r="H86" s="45"/>
      <c r="I86" s="44"/>
      <c r="J86" s="45"/>
      <c r="K86" s="45"/>
      <c r="L86" s="44"/>
      <c r="M86" s="45"/>
      <c r="N86" s="45"/>
      <c r="O86" s="44">
        <v>1200</v>
      </c>
    </row>
    <row r="87" spans="1:15" x14ac:dyDescent="0.35">
      <c r="A87" s="14">
        <v>18</v>
      </c>
      <c r="B87" s="139" t="s">
        <v>391</v>
      </c>
      <c r="C87" s="43" t="s">
        <v>20</v>
      </c>
      <c r="D87" s="169" t="s">
        <v>54</v>
      </c>
      <c r="E87" s="211">
        <v>2400</v>
      </c>
      <c r="F87" s="190">
        <v>1200</v>
      </c>
      <c r="G87" s="45"/>
      <c r="H87" s="45"/>
      <c r="I87" s="44">
        <v>1200</v>
      </c>
      <c r="J87" s="45"/>
      <c r="K87" s="45"/>
      <c r="L87" s="45"/>
      <c r="M87" s="45"/>
      <c r="N87" s="45"/>
      <c r="O87" s="44">
        <f t="shared" si="2"/>
        <v>0</v>
      </c>
    </row>
    <row r="88" spans="1:15" x14ac:dyDescent="0.35">
      <c r="A88" s="14">
        <v>19</v>
      </c>
      <c r="B88" s="139" t="s">
        <v>393</v>
      </c>
      <c r="C88" s="43" t="s">
        <v>20</v>
      </c>
      <c r="D88" s="169" t="s">
        <v>54</v>
      </c>
      <c r="E88" s="211">
        <v>2400</v>
      </c>
      <c r="F88" s="190">
        <v>1600</v>
      </c>
      <c r="G88" s="45"/>
      <c r="H88" s="45"/>
      <c r="I88" s="45"/>
      <c r="J88" s="45"/>
      <c r="K88" s="45"/>
      <c r="L88" s="45"/>
      <c r="M88" s="45"/>
      <c r="N88" s="45"/>
      <c r="O88" s="44">
        <f t="shared" si="2"/>
        <v>800</v>
      </c>
    </row>
    <row r="89" spans="1:15" x14ac:dyDescent="0.35">
      <c r="A89" s="14">
        <v>20</v>
      </c>
      <c r="B89" s="139" t="s">
        <v>394</v>
      </c>
      <c r="C89" s="43" t="s">
        <v>20</v>
      </c>
      <c r="D89" s="169" t="s">
        <v>54</v>
      </c>
      <c r="E89" s="211">
        <v>2400</v>
      </c>
      <c r="F89" s="190">
        <v>1200</v>
      </c>
      <c r="G89" s="45"/>
      <c r="H89" s="45"/>
      <c r="I89" s="44">
        <v>1200</v>
      </c>
      <c r="J89" s="45"/>
      <c r="K89" s="45"/>
      <c r="L89" s="45"/>
      <c r="M89" s="45"/>
      <c r="N89" s="45"/>
      <c r="O89" s="44">
        <f t="shared" si="2"/>
        <v>0</v>
      </c>
    </row>
    <row r="90" spans="1:15" s="230" customFormat="1" x14ac:dyDescent="0.35">
      <c r="A90" s="14">
        <v>21</v>
      </c>
      <c r="B90" s="252" t="s">
        <v>416</v>
      </c>
      <c r="C90" s="223" t="s">
        <v>20</v>
      </c>
      <c r="D90" s="224" t="s">
        <v>54</v>
      </c>
      <c r="E90" s="225">
        <v>2400</v>
      </c>
      <c r="F90" s="226">
        <v>1200</v>
      </c>
      <c r="G90" s="227"/>
      <c r="H90" s="227"/>
      <c r="I90" s="374">
        <v>1200</v>
      </c>
      <c r="J90" s="227"/>
      <c r="K90" s="227"/>
      <c r="L90" s="227"/>
      <c r="M90" s="227"/>
      <c r="N90" s="228"/>
      <c r="O90" s="229">
        <v>0</v>
      </c>
    </row>
    <row r="91" spans="1:15" x14ac:dyDescent="0.35">
      <c r="A91" s="14">
        <v>22</v>
      </c>
      <c r="B91" s="89" t="s">
        <v>443</v>
      </c>
      <c r="C91" s="52" t="s">
        <v>20</v>
      </c>
      <c r="D91" s="53" t="s">
        <v>54</v>
      </c>
      <c r="E91" s="222">
        <v>2400</v>
      </c>
      <c r="F91" s="23">
        <v>1200</v>
      </c>
      <c r="G91" s="55"/>
      <c r="H91" s="55"/>
      <c r="I91" s="56"/>
      <c r="J91" s="56"/>
      <c r="K91" s="56"/>
      <c r="L91" s="56"/>
      <c r="M91" s="88"/>
      <c r="N91" s="5"/>
      <c r="O91" s="206">
        <v>1200</v>
      </c>
    </row>
    <row r="92" spans="1:15" x14ac:dyDescent="0.35">
      <c r="A92" s="14"/>
      <c r="B92" s="89"/>
      <c r="C92" s="52"/>
      <c r="D92" s="53"/>
      <c r="E92" s="222"/>
      <c r="F92" s="23"/>
      <c r="G92" s="55"/>
      <c r="H92" s="55"/>
      <c r="I92" s="56"/>
      <c r="J92" s="56"/>
      <c r="K92" s="56"/>
      <c r="L92" s="56"/>
      <c r="M92" s="88"/>
      <c r="N92" s="5"/>
      <c r="O92" s="206"/>
    </row>
    <row r="93" spans="1:15" ht="15" thickBot="1" x14ac:dyDescent="0.4">
      <c r="A93" s="14"/>
      <c r="B93" s="89"/>
      <c r="C93" s="52"/>
      <c r="D93" s="53"/>
      <c r="E93" s="222"/>
      <c r="F93" s="23"/>
      <c r="G93" s="55"/>
      <c r="H93" s="55"/>
      <c r="I93" s="56"/>
      <c r="J93" s="56"/>
      <c r="K93" s="56"/>
      <c r="L93" s="56"/>
      <c r="M93" s="88"/>
      <c r="N93" s="5"/>
      <c r="O93" s="206"/>
    </row>
    <row r="94" spans="1:15" ht="15" thickBot="1" x14ac:dyDescent="0.4">
      <c r="A94" s="14"/>
      <c r="B94" s="89"/>
      <c r="C94" s="52"/>
      <c r="D94" s="53"/>
      <c r="F94" s="231">
        <f>SUM(F70:F91)</f>
        <v>33090</v>
      </c>
      <c r="G94" s="55"/>
      <c r="H94" s="55"/>
      <c r="I94" s="56"/>
      <c r="J94" s="56"/>
      <c r="K94" s="56"/>
      <c r="L94" s="56"/>
      <c r="M94" s="88"/>
      <c r="N94" s="5"/>
      <c r="O94" s="47">
        <f>SUM(O70:O93)</f>
        <v>4400</v>
      </c>
    </row>
    <row r="95" spans="1:15" ht="15" thickBot="1" x14ac:dyDescent="0.4">
      <c r="A95" s="14"/>
      <c r="B95" s="253" t="s">
        <v>27</v>
      </c>
      <c r="C95" s="63"/>
      <c r="D95" s="171"/>
      <c r="E95" s="213"/>
      <c r="F95" s="193"/>
      <c r="G95" s="64"/>
      <c r="H95" s="64"/>
      <c r="I95" s="64"/>
      <c r="J95" s="64"/>
      <c r="K95" s="64"/>
      <c r="L95" s="64"/>
      <c r="M95" s="64"/>
      <c r="N95" s="64"/>
      <c r="O95" s="65"/>
    </row>
    <row r="96" spans="1:15" x14ac:dyDescent="0.35">
      <c r="A96" s="14">
        <v>1</v>
      </c>
      <c r="B96" s="250" t="s">
        <v>162</v>
      </c>
      <c r="C96" s="58" t="s">
        <v>20</v>
      </c>
      <c r="D96" s="168" t="s">
        <v>54</v>
      </c>
      <c r="E96" s="211">
        <v>2400</v>
      </c>
      <c r="F96" s="189">
        <v>2400</v>
      </c>
      <c r="G96" s="60"/>
      <c r="H96" s="60"/>
      <c r="I96" s="59"/>
      <c r="J96" s="60"/>
      <c r="K96" s="60"/>
      <c r="L96" s="60"/>
      <c r="M96" s="60"/>
      <c r="N96" s="60"/>
      <c r="O96" s="59">
        <f t="shared" si="2"/>
        <v>0</v>
      </c>
    </row>
    <row r="97" spans="1:15" x14ac:dyDescent="0.35">
      <c r="A97" s="14">
        <v>2</v>
      </c>
      <c r="B97" s="139" t="s">
        <v>368</v>
      </c>
      <c r="C97" s="43" t="s">
        <v>20</v>
      </c>
      <c r="D97" s="169" t="s">
        <v>54</v>
      </c>
      <c r="E97" s="211">
        <v>2400</v>
      </c>
      <c r="F97" s="190">
        <v>1200</v>
      </c>
      <c r="G97" s="45"/>
      <c r="H97" s="45"/>
      <c r="I97" s="44">
        <v>1200</v>
      </c>
      <c r="J97" s="45"/>
      <c r="K97" s="45"/>
      <c r="L97" s="45"/>
      <c r="M97" s="45"/>
      <c r="N97" s="45"/>
      <c r="O97" s="44">
        <f>2400-(F97+I97+L97)</f>
        <v>0</v>
      </c>
    </row>
    <row r="98" spans="1:15" x14ac:dyDescent="0.35">
      <c r="A98" s="14">
        <v>3</v>
      </c>
      <c r="B98" s="139" t="s">
        <v>369</v>
      </c>
      <c r="C98" s="43" t="s">
        <v>20</v>
      </c>
      <c r="D98" s="169" t="s">
        <v>54</v>
      </c>
      <c r="E98" s="211">
        <v>2400</v>
      </c>
      <c r="F98" s="190">
        <v>1000</v>
      </c>
      <c r="G98" s="45"/>
      <c r="H98" s="45"/>
      <c r="I98" s="45"/>
      <c r="J98" s="45"/>
      <c r="K98" s="45"/>
      <c r="L98" s="45"/>
      <c r="M98" s="45"/>
      <c r="N98" s="45"/>
      <c r="O98" s="44">
        <f t="shared" si="2"/>
        <v>1400</v>
      </c>
    </row>
    <row r="99" spans="1:15" x14ac:dyDescent="0.35">
      <c r="A99" s="14">
        <v>4</v>
      </c>
      <c r="B99" s="139" t="s">
        <v>370</v>
      </c>
      <c r="C99" s="43" t="s">
        <v>20</v>
      </c>
      <c r="D99" s="169" t="s">
        <v>54</v>
      </c>
      <c r="E99" s="211">
        <v>2400</v>
      </c>
      <c r="F99" s="190">
        <v>2400</v>
      </c>
      <c r="G99" s="45"/>
      <c r="H99" s="45"/>
      <c r="I99" s="45"/>
      <c r="J99" s="45"/>
      <c r="K99" s="45"/>
      <c r="L99" s="45"/>
      <c r="M99" s="45"/>
      <c r="N99" s="45"/>
      <c r="O99" s="44">
        <f t="shared" si="2"/>
        <v>0</v>
      </c>
    </row>
    <row r="100" spans="1:15" x14ac:dyDescent="0.35">
      <c r="A100" s="14">
        <v>5</v>
      </c>
      <c r="B100" s="139" t="s">
        <v>371</v>
      </c>
      <c r="C100" s="43" t="s">
        <v>20</v>
      </c>
      <c r="D100" s="169" t="s">
        <v>54</v>
      </c>
      <c r="E100" s="211">
        <v>2400</v>
      </c>
      <c r="F100" s="190">
        <v>2400</v>
      </c>
      <c r="G100" s="45"/>
      <c r="H100" s="45"/>
      <c r="I100" s="45"/>
      <c r="J100" s="45"/>
      <c r="K100" s="45"/>
      <c r="L100" s="45"/>
      <c r="M100" s="45"/>
      <c r="N100" s="45"/>
      <c r="O100" s="44">
        <f t="shared" si="2"/>
        <v>0</v>
      </c>
    </row>
    <row r="101" spans="1:15" x14ac:dyDescent="0.35">
      <c r="A101" s="14">
        <v>6</v>
      </c>
      <c r="B101" s="139" t="s">
        <v>372</v>
      </c>
      <c r="C101" s="43" t="s">
        <v>20</v>
      </c>
      <c r="D101" s="169" t="s">
        <v>54</v>
      </c>
      <c r="E101" s="211">
        <v>2400</v>
      </c>
      <c r="F101" s="190">
        <v>2400</v>
      </c>
      <c r="G101" s="45"/>
      <c r="H101" s="45"/>
      <c r="I101" s="45"/>
      <c r="J101" s="45"/>
      <c r="K101" s="45"/>
      <c r="L101" s="45"/>
      <c r="M101" s="45"/>
      <c r="N101" s="45"/>
      <c r="O101" s="44">
        <f>2400-(F101+I101+L101)</f>
        <v>0</v>
      </c>
    </row>
    <row r="102" spans="1:15" x14ac:dyDescent="0.35">
      <c r="A102" s="14">
        <v>7</v>
      </c>
      <c r="B102" s="139" t="s">
        <v>373</v>
      </c>
      <c r="C102" s="43" t="s">
        <v>20</v>
      </c>
      <c r="D102" s="169" t="s">
        <v>54</v>
      </c>
      <c r="E102" s="211">
        <v>2400</v>
      </c>
      <c r="F102" s="190">
        <v>1200</v>
      </c>
      <c r="G102" s="45"/>
      <c r="H102" s="45"/>
      <c r="I102" s="44">
        <v>1200</v>
      </c>
      <c r="J102" s="45"/>
      <c r="K102" s="45"/>
      <c r="L102" s="45"/>
      <c r="M102" s="45"/>
      <c r="N102" s="45"/>
      <c r="O102" s="44">
        <f t="shared" si="2"/>
        <v>0</v>
      </c>
    </row>
    <row r="103" spans="1:15" x14ac:dyDescent="0.35">
      <c r="A103" s="14">
        <v>8</v>
      </c>
      <c r="B103" s="139" t="s">
        <v>374</v>
      </c>
      <c r="C103" s="43" t="s">
        <v>20</v>
      </c>
      <c r="D103" s="169" t="s">
        <v>21</v>
      </c>
      <c r="E103" s="211">
        <v>2400</v>
      </c>
      <c r="F103" s="190">
        <v>2400</v>
      </c>
      <c r="G103" s="45"/>
      <c r="H103" s="45"/>
      <c r="I103" s="45"/>
      <c r="J103" s="45"/>
      <c r="K103" s="45"/>
      <c r="L103" s="45"/>
      <c r="M103" s="45"/>
      <c r="N103" s="45"/>
      <c r="O103" s="44">
        <f t="shared" si="2"/>
        <v>0</v>
      </c>
    </row>
    <row r="104" spans="1:15" x14ac:dyDescent="0.35">
      <c r="A104" s="14">
        <v>9</v>
      </c>
      <c r="B104" s="139" t="s">
        <v>375</v>
      </c>
      <c r="C104" s="43" t="s">
        <v>20</v>
      </c>
      <c r="D104" s="169" t="s">
        <v>21</v>
      </c>
      <c r="E104" s="211">
        <v>2400</v>
      </c>
      <c r="F104" s="190">
        <v>1200</v>
      </c>
      <c r="G104" s="45"/>
      <c r="H104" s="45"/>
      <c r="I104" s="44">
        <v>1200</v>
      </c>
      <c r="J104" s="45"/>
      <c r="K104" s="45"/>
      <c r="L104" s="45"/>
      <c r="M104" s="45"/>
      <c r="N104" s="45"/>
      <c r="O104" s="44">
        <f t="shared" si="2"/>
        <v>0</v>
      </c>
    </row>
    <row r="105" spans="1:15" x14ac:dyDescent="0.35">
      <c r="A105" s="14">
        <v>10</v>
      </c>
      <c r="B105" s="139" t="s">
        <v>376</v>
      </c>
      <c r="C105" s="43" t="s">
        <v>22</v>
      </c>
      <c r="D105" s="169" t="s">
        <v>21</v>
      </c>
      <c r="E105" s="211">
        <v>2400</v>
      </c>
      <c r="F105" s="190">
        <v>2400</v>
      </c>
      <c r="G105" s="45"/>
      <c r="H105" s="45"/>
      <c r="I105" s="45"/>
      <c r="J105" s="45"/>
      <c r="K105" s="45"/>
      <c r="L105" s="45"/>
      <c r="M105" s="45"/>
      <c r="N105" s="45"/>
      <c r="O105" s="44">
        <f t="shared" si="2"/>
        <v>0</v>
      </c>
    </row>
    <row r="106" spans="1:15" x14ac:dyDescent="0.35">
      <c r="A106" s="14">
        <v>11</v>
      </c>
      <c r="B106" s="139" t="s">
        <v>377</v>
      </c>
      <c r="C106" s="43" t="s">
        <v>22</v>
      </c>
      <c r="D106" s="169"/>
      <c r="E106" s="211"/>
      <c r="F106" s="190"/>
      <c r="G106" s="45"/>
      <c r="H106" s="45"/>
      <c r="I106" s="45"/>
      <c r="J106" s="45"/>
      <c r="K106" s="45"/>
      <c r="L106" s="45"/>
      <c r="M106" s="45"/>
      <c r="N106" s="45"/>
      <c r="O106" s="44">
        <v>0</v>
      </c>
    </row>
    <row r="107" spans="1:15" x14ac:dyDescent="0.35">
      <c r="A107" s="14">
        <v>12</v>
      </c>
      <c r="B107" s="139" t="s">
        <v>378</v>
      </c>
      <c r="C107" s="43" t="s">
        <v>22</v>
      </c>
      <c r="D107" s="169" t="s">
        <v>54</v>
      </c>
      <c r="E107" s="211">
        <v>2400</v>
      </c>
      <c r="F107" s="190">
        <v>2400</v>
      </c>
      <c r="G107" s="45"/>
      <c r="H107" s="45"/>
      <c r="I107" s="45"/>
      <c r="J107" s="45"/>
      <c r="K107" s="45"/>
      <c r="L107" s="45"/>
      <c r="M107" s="45"/>
      <c r="N107" s="45"/>
      <c r="O107" s="44">
        <f t="shared" si="2"/>
        <v>0</v>
      </c>
    </row>
    <row r="108" spans="1:15" x14ac:dyDescent="0.35">
      <c r="A108" s="14">
        <v>13</v>
      </c>
      <c r="B108" s="139" t="s">
        <v>157</v>
      </c>
      <c r="C108" s="43" t="s">
        <v>22</v>
      </c>
      <c r="D108" s="169" t="s">
        <v>54</v>
      </c>
      <c r="E108" s="211">
        <v>2160</v>
      </c>
      <c r="F108" s="190">
        <v>1080</v>
      </c>
      <c r="G108" s="45"/>
      <c r="H108" s="45"/>
      <c r="I108" s="44">
        <v>1080</v>
      </c>
      <c r="J108" s="45"/>
      <c r="K108" s="45"/>
      <c r="L108" s="45"/>
      <c r="M108" s="45"/>
      <c r="N108" s="45"/>
      <c r="O108" s="44">
        <v>0</v>
      </c>
    </row>
    <row r="109" spans="1:15" x14ac:dyDescent="0.35">
      <c r="A109" s="14">
        <v>14</v>
      </c>
      <c r="B109" s="139" t="s">
        <v>125</v>
      </c>
      <c r="C109" s="43" t="s">
        <v>22</v>
      </c>
      <c r="D109" s="169"/>
      <c r="E109" s="211">
        <v>2400</v>
      </c>
      <c r="F109" s="190">
        <v>1700</v>
      </c>
      <c r="G109" s="45"/>
      <c r="H109" s="45"/>
      <c r="I109" s="44">
        <v>700</v>
      </c>
      <c r="J109" s="45"/>
      <c r="K109" s="45"/>
      <c r="L109" s="45"/>
      <c r="M109" s="45"/>
      <c r="N109" s="45"/>
      <c r="O109" s="44">
        <f t="shared" si="2"/>
        <v>0</v>
      </c>
    </row>
    <row r="110" spans="1:15" x14ac:dyDescent="0.35">
      <c r="A110" s="14">
        <v>15</v>
      </c>
      <c r="B110" s="139" t="s">
        <v>379</v>
      </c>
      <c r="C110" s="43" t="s">
        <v>22</v>
      </c>
      <c r="D110" s="169" t="s">
        <v>54</v>
      </c>
      <c r="E110" s="211">
        <v>2400</v>
      </c>
      <c r="F110" s="190">
        <v>2400</v>
      </c>
      <c r="G110" s="45"/>
      <c r="H110" s="45"/>
      <c r="I110" s="45"/>
      <c r="J110" s="45"/>
      <c r="K110" s="45"/>
      <c r="L110" s="45"/>
      <c r="M110" s="45"/>
      <c r="N110" s="45"/>
      <c r="O110" s="44">
        <f t="shared" si="2"/>
        <v>0</v>
      </c>
    </row>
    <row r="111" spans="1:15" x14ac:dyDescent="0.35">
      <c r="A111" s="14"/>
      <c r="B111" s="139"/>
      <c r="C111" s="43" t="s">
        <v>22</v>
      </c>
      <c r="D111" s="169"/>
      <c r="E111" s="211"/>
      <c r="F111" s="190"/>
      <c r="G111" s="45"/>
      <c r="H111" s="45"/>
      <c r="I111" s="45"/>
      <c r="J111" s="45"/>
      <c r="K111" s="45"/>
      <c r="L111" s="45"/>
      <c r="M111" s="45"/>
      <c r="N111" s="45"/>
      <c r="O111" s="44">
        <v>0</v>
      </c>
    </row>
    <row r="112" spans="1:15" x14ac:dyDescent="0.35">
      <c r="A112" s="14"/>
      <c r="B112" s="49"/>
      <c r="C112" s="14"/>
      <c r="D112" s="17"/>
      <c r="F112" s="186"/>
      <c r="G112" s="7"/>
      <c r="H112" s="7"/>
      <c r="I112" s="7"/>
      <c r="J112" s="7"/>
      <c r="K112" s="7"/>
      <c r="L112" s="7"/>
      <c r="M112" s="7"/>
      <c r="N112" s="7"/>
      <c r="O112" s="23"/>
    </row>
    <row r="113" spans="1:15" ht="15" thickBot="1" x14ac:dyDescent="0.4">
      <c r="A113" s="14"/>
      <c r="B113" s="49"/>
      <c r="C113" s="14"/>
      <c r="D113" s="17"/>
      <c r="F113" s="178"/>
      <c r="G113" s="7"/>
      <c r="H113" s="7"/>
      <c r="I113" s="7"/>
      <c r="J113" s="7"/>
      <c r="K113" s="7"/>
      <c r="L113" s="7"/>
      <c r="M113" s="7"/>
      <c r="N113" s="56"/>
      <c r="O113" s="46"/>
    </row>
    <row r="114" spans="1:15" ht="15" thickBot="1" x14ac:dyDescent="0.4">
      <c r="A114" s="14"/>
      <c r="B114" s="49"/>
      <c r="C114" s="14"/>
      <c r="D114" s="17"/>
      <c r="F114" s="194">
        <f>SUM(F96:F113)</f>
        <v>26580</v>
      </c>
      <c r="G114" s="9"/>
      <c r="H114" s="9"/>
      <c r="I114" s="7"/>
      <c r="J114" s="7"/>
      <c r="K114" s="7"/>
      <c r="L114" s="7"/>
      <c r="M114" s="16"/>
      <c r="N114" s="5"/>
      <c r="O114" s="47">
        <f>SUM(O96:O113)</f>
        <v>1400</v>
      </c>
    </row>
    <row r="115" spans="1:15" x14ac:dyDescent="0.35">
      <c r="A115" s="14"/>
      <c r="B115" s="254" t="s">
        <v>28</v>
      </c>
      <c r="C115" s="18"/>
      <c r="D115" s="172"/>
      <c r="E115" s="214"/>
      <c r="F115" s="195"/>
      <c r="G115" s="19"/>
      <c r="H115" s="19"/>
      <c r="I115" s="19"/>
      <c r="J115" s="19"/>
      <c r="K115" s="19"/>
      <c r="L115" s="19"/>
      <c r="M115" s="19"/>
      <c r="N115" s="66"/>
      <c r="O115" s="91"/>
    </row>
    <row r="116" spans="1:15" x14ac:dyDescent="0.35">
      <c r="A116" s="14">
        <v>1</v>
      </c>
      <c r="B116" s="139" t="s">
        <v>297</v>
      </c>
      <c r="C116" s="43" t="s">
        <v>20</v>
      </c>
      <c r="D116" s="169" t="s">
        <v>54</v>
      </c>
      <c r="E116" s="211">
        <v>2400</v>
      </c>
      <c r="F116" s="190">
        <v>1200</v>
      </c>
      <c r="G116" s="45"/>
      <c r="H116" s="45"/>
      <c r="I116" s="44">
        <v>1200</v>
      </c>
      <c r="J116" s="45"/>
      <c r="K116" s="45"/>
      <c r="L116" s="45"/>
      <c r="M116" s="45"/>
      <c r="N116" s="45"/>
      <c r="O116" s="44">
        <f t="shared" si="2"/>
        <v>0</v>
      </c>
    </row>
    <row r="117" spans="1:15" x14ac:dyDescent="0.35">
      <c r="A117" s="14">
        <v>2</v>
      </c>
      <c r="B117" s="139" t="s">
        <v>298</v>
      </c>
      <c r="C117" s="43" t="s">
        <v>20</v>
      </c>
      <c r="D117" s="169" t="s">
        <v>54</v>
      </c>
      <c r="E117" s="211">
        <v>2400</v>
      </c>
      <c r="F117" s="190">
        <v>1200</v>
      </c>
      <c r="G117" s="45"/>
      <c r="H117" s="45"/>
      <c r="I117" s="45"/>
      <c r="J117" s="45"/>
      <c r="K117" s="45"/>
      <c r="L117" s="45"/>
      <c r="M117" s="45"/>
      <c r="N117" s="45"/>
      <c r="O117" s="44">
        <f t="shared" si="2"/>
        <v>1200</v>
      </c>
    </row>
    <row r="118" spans="1:15" x14ac:dyDescent="0.35">
      <c r="A118" s="14">
        <v>3</v>
      </c>
      <c r="B118" s="139" t="s">
        <v>299</v>
      </c>
      <c r="C118" s="43" t="s">
        <v>20</v>
      </c>
      <c r="D118" s="169" t="s">
        <v>54</v>
      </c>
      <c r="E118" s="211">
        <v>2400</v>
      </c>
      <c r="F118" s="190">
        <v>1220</v>
      </c>
      <c r="G118" s="45"/>
      <c r="H118" s="45"/>
      <c r="I118" s="44">
        <v>1200</v>
      </c>
      <c r="J118" s="45"/>
      <c r="K118" s="45"/>
      <c r="L118" s="45"/>
      <c r="M118" s="45"/>
      <c r="N118" s="45"/>
      <c r="O118" s="44">
        <f t="shared" si="2"/>
        <v>-20</v>
      </c>
    </row>
    <row r="119" spans="1:15" x14ac:dyDescent="0.35">
      <c r="A119" s="14">
        <v>4</v>
      </c>
      <c r="B119" s="139" t="s">
        <v>117</v>
      </c>
      <c r="C119" s="43" t="s">
        <v>20</v>
      </c>
      <c r="D119" s="169" t="s">
        <v>54</v>
      </c>
      <c r="E119" s="211">
        <v>2400</v>
      </c>
      <c r="F119" s="190">
        <v>1500</v>
      </c>
      <c r="G119" s="45"/>
      <c r="H119" s="45"/>
      <c r="I119" s="44">
        <v>900</v>
      </c>
      <c r="J119" s="45"/>
      <c r="K119" s="45"/>
      <c r="L119" s="45"/>
      <c r="M119" s="45"/>
      <c r="N119" s="45"/>
      <c r="O119" s="44">
        <f t="shared" si="2"/>
        <v>0</v>
      </c>
    </row>
    <row r="120" spans="1:15" x14ac:dyDescent="0.35">
      <c r="A120" s="14">
        <v>5</v>
      </c>
      <c r="B120" s="139" t="s">
        <v>173</v>
      </c>
      <c r="C120" s="43" t="s">
        <v>20</v>
      </c>
      <c r="D120" s="169" t="s">
        <v>54</v>
      </c>
      <c r="E120" s="211">
        <v>2400</v>
      </c>
      <c r="F120" s="190">
        <v>1200</v>
      </c>
      <c r="G120" s="45"/>
      <c r="H120" s="45"/>
      <c r="I120" s="45"/>
      <c r="J120" s="45"/>
      <c r="K120" s="45"/>
      <c r="L120" s="45"/>
      <c r="M120" s="45"/>
      <c r="N120" s="45"/>
      <c r="O120" s="44">
        <f t="shared" si="2"/>
        <v>1200</v>
      </c>
    </row>
    <row r="121" spans="1:15" x14ac:dyDescent="0.35">
      <c r="A121" s="14">
        <v>6</v>
      </c>
      <c r="B121" s="139" t="s">
        <v>300</v>
      </c>
      <c r="C121" s="43" t="s">
        <v>20</v>
      </c>
      <c r="D121" s="169" t="s">
        <v>21</v>
      </c>
      <c r="E121" s="211">
        <v>2400</v>
      </c>
      <c r="F121" s="190">
        <v>2400</v>
      </c>
      <c r="G121" s="45"/>
      <c r="H121" s="45"/>
      <c r="I121" s="45"/>
      <c r="J121" s="45"/>
      <c r="K121" s="45"/>
      <c r="L121" s="45"/>
      <c r="M121" s="45"/>
      <c r="N121" s="45"/>
      <c r="O121" s="44">
        <f t="shared" si="2"/>
        <v>0</v>
      </c>
    </row>
    <row r="122" spans="1:15" x14ac:dyDescent="0.35">
      <c r="A122" s="14">
        <v>7</v>
      </c>
      <c r="B122" s="139" t="s">
        <v>301</v>
      </c>
      <c r="C122" s="43" t="s">
        <v>20</v>
      </c>
      <c r="D122" s="169" t="s">
        <v>54</v>
      </c>
      <c r="E122" s="211">
        <v>2400</v>
      </c>
      <c r="F122" s="190">
        <v>2000</v>
      </c>
      <c r="G122" s="45"/>
      <c r="H122" s="45"/>
      <c r="I122" s="45"/>
      <c r="J122" s="45"/>
      <c r="K122" s="45"/>
      <c r="L122" s="45"/>
      <c r="M122" s="45"/>
      <c r="N122" s="45"/>
      <c r="O122" s="44">
        <f t="shared" si="2"/>
        <v>400</v>
      </c>
    </row>
    <row r="123" spans="1:15" x14ac:dyDescent="0.35">
      <c r="A123" s="14">
        <v>8</v>
      </c>
      <c r="B123" s="139" t="s">
        <v>302</v>
      </c>
      <c r="C123" s="43" t="s">
        <v>20</v>
      </c>
      <c r="D123" s="169" t="s">
        <v>54</v>
      </c>
      <c r="E123" s="211">
        <v>2400</v>
      </c>
      <c r="F123" s="190">
        <v>2400</v>
      </c>
      <c r="G123" s="45"/>
      <c r="H123" s="45"/>
      <c r="I123" s="45"/>
      <c r="J123" s="45"/>
      <c r="K123" s="45"/>
      <c r="L123" s="45"/>
      <c r="M123" s="45"/>
      <c r="N123" s="45"/>
      <c r="O123" s="44">
        <f t="shared" si="2"/>
        <v>0</v>
      </c>
    </row>
    <row r="124" spans="1:15" x14ac:dyDescent="0.35">
      <c r="A124" s="14">
        <v>9</v>
      </c>
      <c r="B124" s="139" t="s">
        <v>415</v>
      </c>
      <c r="C124" s="43" t="s">
        <v>20</v>
      </c>
      <c r="D124" s="169" t="s">
        <v>54</v>
      </c>
      <c r="E124" s="211">
        <v>2400</v>
      </c>
      <c r="F124" s="190">
        <v>1200</v>
      </c>
      <c r="G124" s="45"/>
      <c r="H124" s="45"/>
      <c r="I124" s="44">
        <v>1200</v>
      </c>
      <c r="J124" s="45"/>
      <c r="K124" s="45"/>
      <c r="L124" s="45"/>
      <c r="M124" s="45"/>
      <c r="N124" s="45"/>
      <c r="O124" s="44">
        <f t="shared" si="2"/>
        <v>0</v>
      </c>
    </row>
    <row r="125" spans="1:15" x14ac:dyDescent="0.35">
      <c r="A125" s="14">
        <v>10</v>
      </c>
      <c r="B125" s="139" t="s">
        <v>424</v>
      </c>
      <c r="C125" s="43" t="s">
        <v>20</v>
      </c>
      <c r="D125" s="169" t="s">
        <v>21</v>
      </c>
      <c r="E125" s="211">
        <v>2400</v>
      </c>
      <c r="F125" s="190">
        <v>1200</v>
      </c>
      <c r="G125" s="45"/>
      <c r="H125" s="45"/>
      <c r="I125" s="44">
        <v>1200</v>
      </c>
      <c r="J125" s="45"/>
      <c r="K125" s="45"/>
      <c r="L125" s="45"/>
      <c r="M125" s="45"/>
      <c r="N125" s="45"/>
      <c r="O125" s="44">
        <f t="shared" si="2"/>
        <v>0</v>
      </c>
    </row>
    <row r="126" spans="1:15" x14ac:dyDescent="0.35">
      <c r="A126" s="14">
        <v>11</v>
      </c>
      <c r="B126" s="139" t="s">
        <v>419</v>
      </c>
      <c r="C126" s="43" t="s">
        <v>20</v>
      </c>
      <c r="D126" s="169" t="s">
        <v>21</v>
      </c>
      <c r="E126" s="211">
        <v>2400</v>
      </c>
      <c r="F126" s="190">
        <v>1200</v>
      </c>
      <c r="G126" s="45"/>
      <c r="H126" s="45"/>
      <c r="I126" s="44">
        <v>1200</v>
      </c>
      <c r="J126" s="45"/>
      <c r="K126" s="45"/>
      <c r="L126" s="45"/>
      <c r="M126" s="45"/>
      <c r="N126" s="45"/>
      <c r="O126" s="44">
        <f t="shared" si="2"/>
        <v>0</v>
      </c>
    </row>
    <row r="127" spans="1:15" x14ac:dyDescent="0.35">
      <c r="A127" s="14">
        <v>12</v>
      </c>
      <c r="B127" s="139" t="s">
        <v>303</v>
      </c>
      <c r="C127" s="43" t="s">
        <v>22</v>
      </c>
      <c r="D127" s="169" t="s">
        <v>54</v>
      </c>
      <c r="E127" s="211">
        <v>2400</v>
      </c>
      <c r="F127" s="190">
        <v>2400</v>
      </c>
      <c r="G127" s="45"/>
      <c r="H127" s="45"/>
      <c r="I127" s="44"/>
      <c r="J127" s="45"/>
      <c r="K127" s="45"/>
      <c r="L127" s="44"/>
      <c r="M127" s="45"/>
      <c r="N127" s="45"/>
      <c r="O127" s="44">
        <f t="shared" si="2"/>
        <v>0</v>
      </c>
    </row>
    <row r="128" spans="1:15" x14ac:dyDescent="0.35">
      <c r="A128" s="14">
        <v>13</v>
      </c>
      <c r="B128" s="139" t="s">
        <v>304</v>
      </c>
      <c r="C128" s="43" t="s">
        <v>22</v>
      </c>
      <c r="D128" s="169" t="s">
        <v>21</v>
      </c>
      <c r="E128" s="211">
        <v>2400</v>
      </c>
      <c r="F128" s="190">
        <v>2400</v>
      </c>
      <c r="G128" s="45"/>
      <c r="H128" s="45"/>
      <c r="I128" s="45"/>
      <c r="J128" s="45"/>
      <c r="K128" s="45"/>
      <c r="L128" s="45"/>
      <c r="M128" s="45"/>
      <c r="N128" s="45"/>
      <c r="O128" s="44">
        <f t="shared" si="2"/>
        <v>0</v>
      </c>
    </row>
    <row r="129" spans="1:15" x14ac:dyDescent="0.35">
      <c r="A129" s="14">
        <v>14</v>
      </c>
      <c r="B129" s="139" t="s">
        <v>305</v>
      </c>
      <c r="C129" s="43" t="s">
        <v>22</v>
      </c>
      <c r="D129" s="169" t="s">
        <v>21</v>
      </c>
      <c r="E129" s="211">
        <v>2400</v>
      </c>
      <c r="F129" s="190">
        <v>2400</v>
      </c>
      <c r="G129" s="45"/>
      <c r="H129" s="45"/>
      <c r="I129" s="45"/>
      <c r="J129" s="45"/>
      <c r="K129" s="45"/>
      <c r="L129" s="45"/>
      <c r="M129" s="45"/>
      <c r="N129" s="45"/>
      <c r="O129" s="44">
        <f t="shared" si="2"/>
        <v>0</v>
      </c>
    </row>
    <row r="130" spans="1:15" x14ac:dyDescent="0.35">
      <c r="A130" s="14">
        <v>15</v>
      </c>
      <c r="B130" s="139" t="s">
        <v>132</v>
      </c>
      <c r="C130" s="43" t="s">
        <v>22</v>
      </c>
      <c r="D130" s="169" t="s">
        <v>54</v>
      </c>
      <c r="E130" s="211">
        <v>2400</v>
      </c>
      <c r="F130" s="190">
        <v>1200</v>
      </c>
      <c r="G130" s="45"/>
      <c r="H130" s="45"/>
      <c r="I130" s="44">
        <v>1200</v>
      </c>
      <c r="J130" s="45"/>
      <c r="K130" s="45"/>
      <c r="L130" s="45"/>
      <c r="M130" s="45"/>
      <c r="N130" s="45"/>
      <c r="O130" s="44">
        <f t="shared" ref="O130:O131" si="3">2400-(F130+I130+L130)</f>
        <v>0</v>
      </c>
    </row>
    <row r="131" spans="1:15" x14ac:dyDescent="0.35">
      <c r="A131" s="14">
        <v>16</v>
      </c>
      <c r="B131" s="139" t="s">
        <v>306</v>
      </c>
      <c r="C131" s="43" t="s">
        <v>22</v>
      </c>
      <c r="D131" s="169" t="s">
        <v>54</v>
      </c>
      <c r="E131" s="211">
        <v>2400</v>
      </c>
      <c r="F131" s="190">
        <v>2000</v>
      </c>
      <c r="G131" s="45"/>
      <c r="H131" s="45"/>
      <c r="I131" s="45"/>
      <c r="J131" s="45"/>
      <c r="K131" s="45"/>
      <c r="L131" s="45"/>
      <c r="M131" s="45"/>
      <c r="N131" s="45"/>
      <c r="O131" s="44">
        <f t="shared" si="3"/>
        <v>400</v>
      </c>
    </row>
    <row r="132" spans="1:15" x14ac:dyDescent="0.35">
      <c r="A132" s="14">
        <v>17</v>
      </c>
      <c r="B132" s="139" t="s">
        <v>420</v>
      </c>
      <c r="C132" s="43" t="s">
        <v>22</v>
      </c>
      <c r="D132" s="169" t="s">
        <v>54</v>
      </c>
      <c r="E132" s="211">
        <v>2160</v>
      </c>
      <c r="F132" s="190">
        <v>1850</v>
      </c>
      <c r="G132" s="45"/>
      <c r="H132" s="45"/>
      <c r="I132" s="44">
        <v>550</v>
      </c>
      <c r="J132" s="45"/>
      <c r="K132" s="45"/>
      <c r="L132" s="45"/>
      <c r="M132" s="45"/>
      <c r="N132" s="45"/>
      <c r="O132" s="44">
        <v>0</v>
      </c>
    </row>
    <row r="133" spans="1:15" x14ac:dyDescent="0.35">
      <c r="A133" s="14">
        <v>18</v>
      </c>
      <c r="B133" s="139" t="s">
        <v>423</v>
      </c>
      <c r="C133" s="43" t="s">
        <v>22</v>
      </c>
      <c r="D133" s="169" t="s">
        <v>21</v>
      </c>
      <c r="E133" s="211">
        <v>2400</v>
      </c>
      <c r="F133" s="190">
        <v>1200</v>
      </c>
      <c r="G133" s="45"/>
      <c r="H133" s="45"/>
      <c r="I133" s="44">
        <v>1200</v>
      </c>
      <c r="J133" s="45"/>
      <c r="K133" s="45"/>
      <c r="L133" s="45"/>
      <c r="M133" s="45"/>
      <c r="N133" s="45"/>
      <c r="O133" s="44">
        <v>0</v>
      </c>
    </row>
    <row r="134" spans="1:15" x14ac:dyDescent="0.35">
      <c r="A134" s="14">
        <v>19</v>
      </c>
      <c r="B134" s="139" t="s">
        <v>439</v>
      </c>
      <c r="C134" s="43" t="s">
        <v>22</v>
      </c>
      <c r="D134" s="169" t="s">
        <v>54</v>
      </c>
      <c r="E134" s="211">
        <v>2400</v>
      </c>
      <c r="F134" s="190">
        <v>1400</v>
      </c>
      <c r="G134" s="45"/>
      <c r="H134" s="45"/>
      <c r="I134" s="44">
        <v>1000</v>
      </c>
      <c r="J134" s="45"/>
      <c r="K134" s="45"/>
      <c r="L134" s="45"/>
      <c r="M134" s="45"/>
      <c r="N134" s="45"/>
      <c r="O134" s="44">
        <v>0</v>
      </c>
    </row>
    <row r="135" spans="1:15" x14ac:dyDescent="0.35">
      <c r="A135" s="14"/>
      <c r="B135" s="139"/>
      <c r="C135" s="43" t="s">
        <v>22</v>
      </c>
      <c r="D135" s="169" t="s">
        <v>54</v>
      </c>
      <c r="E135" s="211"/>
      <c r="F135" s="190"/>
      <c r="G135" s="45"/>
      <c r="H135" s="45"/>
      <c r="I135" s="45"/>
      <c r="J135" s="45"/>
      <c r="K135" s="45"/>
      <c r="L135" s="45"/>
      <c r="M135" s="45"/>
      <c r="N135" s="45"/>
      <c r="O135" s="44">
        <v>0</v>
      </c>
    </row>
    <row r="136" spans="1:15" x14ac:dyDescent="0.35">
      <c r="A136" s="14"/>
      <c r="B136" s="139"/>
      <c r="C136" s="43" t="s">
        <v>22</v>
      </c>
      <c r="D136" s="169" t="s">
        <v>54</v>
      </c>
      <c r="E136" s="211"/>
      <c r="F136" s="190"/>
      <c r="G136" s="45"/>
      <c r="H136" s="45"/>
      <c r="I136" s="45"/>
      <c r="J136" s="45"/>
      <c r="K136" s="45"/>
      <c r="L136" s="45"/>
      <c r="M136" s="45"/>
      <c r="N136" s="45"/>
      <c r="O136" s="44">
        <v>0</v>
      </c>
    </row>
    <row r="137" spans="1:15" ht="15" thickBot="1" x14ac:dyDescent="0.4">
      <c r="A137" s="14"/>
      <c r="B137" s="49"/>
      <c r="C137" s="14"/>
      <c r="D137" s="17"/>
      <c r="F137" s="186"/>
      <c r="G137" s="7"/>
      <c r="H137" s="7"/>
      <c r="I137" s="7"/>
      <c r="J137" s="7"/>
      <c r="K137" s="7"/>
      <c r="L137" s="7"/>
      <c r="M137" s="7"/>
      <c r="N137" s="56"/>
      <c r="O137" s="46"/>
    </row>
    <row r="138" spans="1:15" ht="15" thickBot="1" x14ac:dyDescent="0.4">
      <c r="A138" s="14"/>
      <c r="B138" s="49"/>
      <c r="C138" s="14"/>
      <c r="D138" s="17"/>
      <c r="F138" s="196">
        <f>SUM(F116:F137)</f>
        <v>31570</v>
      </c>
      <c r="G138" s="7"/>
      <c r="H138" s="7"/>
      <c r="I138" s="7"/>
      <c r="J138" s="7"/>
      <c r="K138" s="7"/>
      <c r="L138" s="7"/>
      <c r="M138" s="16"/>
      <c r="N138" s="5"/>
      <c r="O138" s="47">
        <f>SUM(O116:O137)</f>
        <v>3180</v>
      </c>
    </row>
    <row r="139" spans="1:15" x14ac:dyDescent="0.35">
      <c r="A139" s="14"/>
      <c r="B139" s="256" t="s">
        <v>29</v>
      </c>
      <c r="C139" s="15"/>
      <c r="D139" s="173"/>
      <c r="E139" s="215"/>
      <c r="F139" s="197"/>
      <c r="G139" s="21"/>
      <c r="H139" s="21"/>
      <c r="I139" s="21"/>
      <c r="J139" s="21"/>
      <c r="K139" s="21"/>
      <c r="L139" s="21"/>
      <c r="M139" s="21"/>
      <c r="N139" s="177"/>
      <c r="O139" s="90"/>
    </row>
    <row r="140" spans="1:15" x14ac:dyDescent="0.35">
      <c r="A140" s="14">
        <v>1</v>
      </c>
      <c r="B140" s="139" t="s">
        <v>320</v>
      </c>
      <c r="C140" s="43" t="s">
        <v>20</v>
      </c>
      <c r="D140" s="169" t="s">
        <v>54</v>
      </c>
      <c r="E140" s="211">
        <v>2400</v>
      </c>
      <c r="F140" s="190">
        <v>2400</v>
      </c>
      <c r="G140" s="45"/>
      <c r="H140" s="45"/>
      <c r="I140" s="45"/>
      <c r="J140" s="45"/>
      <c r="K140" s="45"/>
      <c r="L140" s="45"/>
      <c r="M140" s="45"/>
      <c r="N140" s="45"/>
      <c r="O140" s="44">
        <f t="shared" ref="O140:O194" si="4">2400-(F140+I140+L140)</f>
        <v>0</v>
      </c>
    </row>
    <row r="141" spans="1:15" x14ac:dyDescent="0.35">
      <c r="A141" s="14">
        <v>2</v>
      </c>
      <c r="B141" s="139" t="s">
        <v>336</v>
      </c>
      <c r="C141" s="43" t="s">
        <v>20</v>
      </c>
      <c r="D141" s="169" t="s">
        <v>54</v>
      </c>
      <c r="E141" s="211">
        <v>2400</v>
      </c>
      <c r="F141" s="190">
        <v>2400</v>
      </c>
      <c r="G141" s="45"/>
      <c r="H141" s="45"/>
      <c r="I141" s="44"/>
      <c r="J141" s="45"/>
      <c r="K141" s="45"/>
      <c r="L141" s="45"/>
      <c r="M141" s="45"/>
      <c r="N141" s="45"/>
      <c r="O141" s="44">
        <f t="shared" si="4"/>
        <v>0</v>
      </c>
    </row>
    <row r="142" spans="1:15" x14ac:dyDescent="0.35">
      <c r="A142" s="14">
        <v>3</v>
      </c>
      <c r="B142" s="139" t="s">
        <v>337</v>
      </c>
      <c r="C142" s="43" t="s">
        <v>20</v>
      </c>
      <c r="D142" s="169" t="s">
        <v>54</v>
      </c>
      <c r="E142" s="211">
        <v>2400</v>
      </c>
      <c r="F142" s="190">
        <v>1200</v>
      </c>
      <c r="G142" s="45"/>
      <c r="H142" s="45"/>
      <c r="I142" s="44">
        <v>1200</v>
      </c>
      <c r="J142" s="45"/>
      <c r="K142" s="45"/>
      <c r="L142" s="45"/>
      <c r="M142" s="45"/>
      <c r="N142" s="45"/>
      <c r="O142" s="44">
        <f t="shared" si="4"/>
        <v>0</v>
      </c>
    </row>
    <row r="143" spans="1:15" x14ac:dyDescent="0.35">
      <c r="A143" s="14">
        <v>4</v>
      </c>
      <c r="B143" s="139" t="s">
        <v>127</v>
      </c>
      <c r="C143" s="43" t="s">
        <v>20</v>
      </c>
      <c r="D143" s="169" t="s">
        <v>21</v>
      </c>
      <c r="E143" s="211">
        <v>2400</v>
      </c>
      <c r="F143" s="190">
        <v>2400</v>
      </c>
      <c r="G143" s="45"/>
      <c r="H143" s="45"/>
      <c r="I143" s="45"/>
      <c r="J143" s="45"/>
      <c r="K143" s="45"/>
      <c r="L143" s="45"/>
      <c r="M143" s="45"/>
      <c r="N143" s="45"/>
      <c r="O143" s="44">
        <f t="shared" si="4"/>
        <v>0</v>
      </c>
    </row>
    <row r="144" spans="1:15" x14ac:dyDescent="0.35">
      <c r="A144" s="14">
        <v>5</v>
      </c>
      <c r="B144" s="139" t="s">
        <v>343</v>
      </c>
      <c r="C144" s="43" t="s">
        <v>22</v>
      </c>
      <c r="D144" s="169" t="s">
        <v>54</v>
      </c>
      <c r="E144" s="211">
        <v>2400</v>
      </c>
      <c r="F144" s="190">
        <v>1500</v>
      </c>
      <c r="G144" s="45"/>
      <c r="H144" s="45"/>
      <c r="I144" s="44">
        <v>900</v>
      </c>
      <c r="J144" s="45"/>
      <c r="K144" s="45"/>
      <c r="L144" s="45"/>
      <c r="M144" s="45"/>
      <c r="N144" s="45"/>
      <c r="O144" s="44">
        <f t="shared" si="4"/>
        <v>0</v>
      </c>
    </row>
    <row r="145" spans="1:15" x14ac:dyDescent="0.35">
      <c r="A145" s="14">
        <v>6</v>
      </c>
      <c r="B145" s="139" t="s">
        <v>338</v>
      </c>
      <c r="C145" s="43" t="s">
        <v>22</v>
      </c>
      <c r="D145" s="169" t="s">
        <v>54</v>
      </c>
      <c r="E145" s="211">
        <v>2400</v>
      </c>
      <c r="F145" s="190">
        <v>1200</v>
      </c>
      <c r="G145" s="45"/>
      <c r="H145" s="44"/>
      <c r="I145" s="44">
        <v>1000</v>
      </c>
      <c r="J145" s="45"/>
      <c r="K145" s="45"/>
      <c r="L145" s="44">
        <v>200</v>
      </c>
      <c r="M145" s="45"/>
      <c r="N145" s="45"/>
      <c r="O145" s="44">
        <v>0</v>
      </c>
    </row>
    <row r="146" spans="1:15" x14ac:dyDescent="0.35">
      <c r="A146" s="14">
        <v>7</v>
      </c>
      <c r="B146" s="139" t="s">
        <v>339</v>
      </c>
      <c r="C146" s="43" t="s">
        <v>22</v>
      </c>
      <c r="D146" s="169" t="s">
        <v>54</v>
      </c>
      <c r="E146" s="211">
        <v>2400</v>
      </c>
      <c r="F146" s="190">
        <v>2400</v>
      </c>
      <c r="G146" s="45"/>
      <c r="H146" s="45"/>
      <c r="I146" s="45"/>
      <c r="J146" s="45"/>
      <c r="K146" s="45"/>
      <c r="L146" s="45"/>
      <c r="M146" s="45"/>
      <c r="N146" s="45"/>
      <c r="O146" s="44">
        <f t="shared" si="4"/>
        <v>0</v>
      </c>
    </row>
    <row r="147" spans="1:15" x14ac:dyDescent="0.35">
      <c r="A147" s="14">
        <v>8</v>
      </c>
      <c r="B147" s="139" t="s">
        <v>340</v>
      </c>
      <c r="C147" s="43" t="s">
        <v>22</v>
      </c>
      <c r="D147" s="169" t="s">
        <v>54</v>
      </c>
      <c r="E147" s="211">
        <v>2400</v>
      </c>
      <c r="F147" s="190">
        <v>1200</v>
      </c>
      <c r="G147" s="45"/>
      <c r="H147" s="45"/>
      <c r="I147" s="44">
        <v>1200</v>
      </c>
      <c r="J147" s="45"/>
      <c r="K147" s="45"/>
      <c r="L147" s="45"/>
      <c r="M147" s="45"/>
      <c r="N147" s="45"/>
      <c r="O147" s="44">
        <f t="shared" si="4"/>
        <v>0</v>
      </c>
    </row>
    <row r="148" spans="1:15" x14ac:dyDescent="0.35">
      <c r="A148" s="14">
        <v>9</v>
      </c>
      <c r="B148" s="139" t="s">
        <v>441</v>
      </c>
      <c r="C148" s="43" t="s">
        <v>20</v>
      </c>
      <c r="D148" s="169" t="s">
        <v>54</v>
      </c>
      <c r="E148" s="211">
        <v>2400</v>
      </c>
      <c r="F148" s="190">
        <v>2000</v>
      </c>
      <c r="G148" s="45"/>
      <c r="H148" s="45"/>
      <c r="I148" s="44"/>
      <c r="J148" s="45"/>
      <c r="K148" s="45"/>
      <c r="L148" s="45"/>
      <c r="M148" s="45"/>
      <c r="N148" s="45"/>
      <c r="O148" s="44">
        <v>400</v>
      </c>
    </row>
    <row r="149" spans="1:15" x14ac:dyDescent="0.35">
      <c r="A149" s="14">
        <v>10</v>
      </c>
      <c r="B149" s="139" t="s">
        <v>442</v>
      </c>
      <c r="C149" s="43" t="s">
        <v>20</v>
      </c>
      <c r="D149" s="169" t="s">
        <v>54</v>
      </c>
      <c r="E149" s="211">
        <v>2400</v>
      </c>
      <c r="F149" s="190">
        <v>2000</v>
      </c>
      <c r="G149" s="45"/>
      <c r="H149" s="45"/>
      <c r="I149" s="44"/>
      <c r="J149" s="45"/>
      <c r="K149" s="45"/>
      <c r="L149" s="45"/>
      <c r="M149" s="45"/>
      <c r="N149" s="45"/>
      <c r="O149" s="44">
        <v>400</v>
      </c>
    </row>
    <row r="150" spans="1:15" x14ac:dyDescent="0.35">
      <c r="A150" s="14">
        <v>11</v>
      </c>
      <c r="B150" s="139" t="s">
        <v>341</v>
      </c>
      <c r="C150" s="43" t="s">
        <v>22</v>
      </c>
      <c r="D150" s="169" t="s">
        <v>54</v>
      </c>
      <c r="E150" s="211">
        <v>2400</v>
      </c>
      <c r="F150" s="190">
        <v>2400</v>
      </c>
      <c r="G150" s="45"/>
      <c r="H150" s="45"/>
      <c r="I150" s="45"/>
      <c r="J150" s="45"/>
      <c r="K150" s="45"/>
      <c r="L150" s="45"/>
      <c r="M150" s="45"/>
      <c r="N150" s="45"/>
      <c r="O150" s="44">
        <f t="shared" si="4"/>
        <v>0</v>
      </c>
    </row>
    <row r="151" spans="1:15" x14ac:dyDescent="0.35">
      <c r="A151" s="14">
        <v>12</v>
      </c>
      <c r="B151" s="139" t="s">
        <v>156</v>
      </c>
      <c r="C151" s="43" t="s">
        <v>22</v>
      </c>
      <c r="D151" s="169" t="s">
        <v>54</v>
      </c>
      <c r="E151" s="211">
        <v>2400</v>
      </c>
      <c r="F151" s="190">
        <v>2400</v>
      </c>
      <c r="G151" s="45"/>
      <c r="H151" s="45"/>
      <c r="I151" s="45"/>
      <c r="J151" s="45"/>
      <c r="K151" s="45"/>
      <c r="L151" s="45"/>
      <c r="M151" s="45"/>
      <c r="N151" s="45"/>
      <c r="O151" s="44">
        <f t="shared" si="4"/>
        <v>0</v>
      </c>
    </row>
    <row r="152" spans="1:15" x14ac:dyDescent="0.35">
      <c r="A152" s="14">
        <v>13</v>
      </c>
      <c r="B152" s="139" t="s">
        <v>342</v>
      </c>
      <c r="C152" s="43" t="s">
        <v>22</v>
      </c>
      <c r="D152" s="169" t="s">
        <v>54</v>
      </c>
      <c r="E152" s="211">
        <v>2400</v>
      </c>
      <c r="F152" s="190">
        <v>1200</v>
      </c>
      <c r="G152" s="45"/>
      <c r="H152" s="45"/>
      <c r="I152" s="44">
        <v>1200</v>
      </c>
      <c r="J152" s="45"/>
      <c r="K152" s="45"/>
      <c r="L152" s="45"/>
      <c r="M152" s="45"/>
      <c r="N152" s="45"/>
      <c r="O152" s="44">
        <f t="shared" si="4"/>
        <v>0</v>
      </c>
    </row>
    <row r="153" spans="1:15" ht="15" thickBot="1" x14ac:dyDescent="0.4">
      <c r="A153" s="14">
        <v>14</v>
      </c>
      <c r="B153" s="49" t="s">
        <v>446</v>
      </c>
      <c r="C153" s="14" t="s">
        <v>22</v>
      </c>
      <c r="D153" s="17" t="s">
        <v>54</v>
      </c>
      <c r="E153" s="160">
        <v>2400</v>
      </c>
      <c r="F153" s="186">
        <v>1350</v>
      </c>
      <c r="G153" s="7"/>
      <c r="H153" s="7"/>
      <c r="I153" s="23">
        <v>1050</v>
      </c>
      <c r="J153" s="7"/>
      <c r="K153" s="7"/>
      <c r="L153" s="7"/>
      <c r="M153" s="7"/>
      <c r="N153" s="56"/>
      <c r="O153" s="46">
        <v>0</v>
      </c>
    </row>
    <row r="154" spans="1:15" ht="15" thickBot="1" x14ac:dyDescent="0.4">
      <c r="A154" s="14"/>
      <c r="B154" s="89"/>
      <c r="C154" s="52"/>
      <c r="D154" s="53"/>
      <c r="F154" s="198">
        <f>SUM(F140:F153)</f>
        <v>26050</v>
      </c>
      <c r="G154" s="56"/>
      <c r="H154" s="56"/>
      <c r="I154" s="56"/>
      <c r="J154" s="56"/>
      <c r="K154" s="56"/>
      <c r="L154" s="56"/>
      <c r="M154" s="88"/>
      <c r="N154" s="5"/>
      <c r="O154" s="47">
        <f>SUM(O140:O153)</f>
        <v>800</v>
      </c>
    </row>
    <row r="155" spans="1:15" ht="15" thickBot="1" x14ac:dyDescent="0.4">
      <c r="A155" s="14"/>
      <c r="B155" s="257" t="s">
        <v>30</v>
      </c>
      <c r="C155" s="71"/>
      <c r="D155" s="174"/>
      <c r="E155" s="216"/>
      <c r="F155" s="199"/>
      <c r="G155" s="73"/>
      <c r="H155" s="73"/>
      <c r="I155" s="73"/>
      <c r="J155" s="73"/>
      <c r="K155" s="73"/>
      <c r="L155" s="73"/>
      <c r="M155" s="73"/>
      <c r="N155" s="73"/>
      <c r="O155" s="72"/>
    </row>
    <row r="156" spans="1:15" x14ac:dyDescent="0.35">
      <c r="A156" s="14">
        <v>1</v>
      </c>
      <c r="B156" s="250" t="s">
        <v>405</v>
      </c>
      <c r="C156" s="58" t="s">
        <v>20</v>
      </c>
      <c r="D156" s="168" t="s">
        <v>54</v>
      </c>
      <c r="E156" s="211">
        <v>2400</v>
      </c>
      <c r="F156" s="189">
        <v>2400</v>
      </c>
      <c r="G156" s="60"/>
      <c r="H156" s="60"/>
      <c r="I156" s="59"/>
      <c r="J156" s="60"/>
      <c r="K156" s="60"/>
      <c r="L156" s="60"/>
      <c r="M156" s="60"/>
      <c r="N156" s="60"/>
      <c r="O156" s="59">
        <f t="shared" si="4"/>
        <v>0</v>
      </c>
    </row>
    <row r="157" spans="1:15" x14ac:dyDescent="0.35">
      <c r="A157" s="14">
        <v>2</v>
      </c>
      <c r="B157" s="139" t="s">
        <v>121</v>
      </c>
      <c r="C157" s="43" t="s">
        <v>20</v>
      </c>
      <c r="D157" s="169" t="s">
        <v>54</v>
      </c>
      <c r="E157" s="211">
        <v>2400</v>
      </c>
      <c r="F157" s="190">
        <v>1200</v>
      </c>
      <c r="G157" s="45"/>
      <c r="H157" s="45"/>
      <c r="I157" s="44">
        <v>1200</v>
      </c>
      <c r="J157" s="45"/>
      <c r="K157" s="45"/>
      <c r="L157" s="45"/>
      <c r="M157" s="45"/>
      <c r="N157" s="45"/>
      <c r="O157" s="44">
        <f t="shared" si="4"/>
        <v>0</v>
      </c>
    </row>
    <row r="158" spans="1:15" x14ac:dyDescent="0.35">
      <c r="A158" s="14">
        <v>3</v>
      </c>
      <c r="B158" s="139" t="s">
        <v>406</v>
      </c>
      <c r="C158" s="43" t="s">
        <v>20</v>
      </c>
      <c r="D158" s="169" t="s">
        <v>54</v>
      </c>
      <c r="E158" s="211">
        <v>2400</v>
      </c>
      <c r="F158" s="190">
        <v>2400</v>
      </c>
      <c r="G158" s="45"/>
      <c r="H158" s="45"/>
      <c r="I158" s="44"/>
      <c r="J158" s="45"/>
      <c r="K158" s="45"/>
      <c r="L158" s="45"/>
      <c r="M158" s="45"/>
      <c r="N158" s="45"/>
      <c r="O158" s="44">
        <f t="shared" si="4"/>
        <v>0</v>
      </c>
    </row>
    <row r="159" spans="1:15" x14ac:dyDescent="0.35">
      <c r="A159" s="14">
        <v>4</v>
      </c>
      <c r="B159" s="139" t="s">
        <v>421</v>
      </c>
      <c r="C159" s="43" t="s">
        <v>20</v>
      </c>
      <c r="D159" s="169" t="s">
        <v>21</v>
      </c>
      <c r="E159" s="211">
        <v>2400</v>
      </c>
      <c r="F159" s="190">
        <v>2400</v>
      </c>
      <c r="G159" s="45"/>
      <c r="H159" s="45"/>
      <c r="I159" s="45"/>
      <c r="J159" s="45"/>
      <c r="K159" s="45"/>
      <c r="L159" s="45"/>
      <c r="M159" s="45"/>
      <c r="N159" s="45"/>
      <c r="O159" s="44">
        <f t="shared" si="4"/>
        <v>0</v>
      </c>
    </row>
    <row r="160" spans="1:15" x14ac:dyDescent="0.35">
      <c r="A160" s="14">
        <v>5</v>
      </c>
      <c r="B160" s="139" t="s">
        <v>407</v>
      </c>
      <c r="C160" s="43" t="s">
        <v>22</v>
      </c>
      <c r="D160" s="169" t="s">
        <v>54</v>
      </c>
      <c r="E160" s="211">
        <v>2400</v>
      </c>
      <c r="F160" s="190">
        <v>1200</v>
      </c>
      <c r="G160" s="45"/>
      <c r="H160" s="45"/>
      <c r="I160" s="44">
        <v>1200</v>
      </c>
      <c r="J160" s="45"/>
      <c r="K160" s="45"/>
      <c r="L160" s="45"/>
      <c r="M160" s="45"/>
      <c r="N160" s="45"/>
      <c r="O160" s="44">
        <f t="shared" si="4"/>
        <v>0</v>
      </c>
    </row>
    <row r="161" spans="1:15" x14ac:dyDescent="0.35">
      <c r="A161" s="14">
        <v>6</v>
      </c>
      <c r="B161" s="139" t="s">
        <v>59</v>
      </c>
      <c r="C161" s="43" t="s">
        <v>22</v>
      </c>
      <c r="D161" s="169" t="s">
        <v>54</v>
      </c>
      <c r="E161" s="211">
        <v>2400</v>
      </c>
      <c r="F161" s="190">
        <v>1200</v>
      </c>
      <c r="G161" s="45"/>
      <c r="H161" s="45"/>
      <c r="I161" s="44">
        <v>1200</v>
      </c>
      <c r="J161" s="45"/>
      <c r="K161" s="45"/>
      <c r="L161" s="45"/>
      <c r="M161" s="45"/>
      <c r="N161" s="45"/>
      <c r="O161" s="44">
        <f t="shared" si="4"/>
        <v>0</v>
      </c>
    </row>
    <row r="162" spans="1:15" x14ac:dyDescent="0.35">
      <c r="A162" s="14">
        <v>7</v>
      </c>
      <c r="B162" s="139" t="s">
        <v>126</v>
      </c>
      <c r="C162" s="43" t="s">
        <v>22</v>
      </c>
      <c r="D162" s="169" t="s">
        <v>54</v>
      </c>
      <c r="E162" s="211">
        <v>2400</v>
      </c>
      <c r="F162" s="190">
        <v>2400</v>
      </c>
      <c r="G162" s="45"/>
      <c r="H162" s="45"/>
      <c r="I162" s="45"/>
      <c r="J162" s="45"/>
      <c r="K162" s="45"/>
      <c r="L162" s="45"/>
      <c r="M162" s="45"/>
      <c r="N162" s="45"/>
      <c r="O162" s="44">
        <f t="shared" si="4"/>
        <v>0</v>
      </c>
    </row>
    <row r="163" spans="1:15" x14ac:dyDescent="0.35">
      <c r="A163" s="14"/>
      <c r="B163" s="139"/>
      <c r="C163" s="43" t="s">
        <v>22</v>
      </c>
      <c r="D163" s="169" t="s">
        <v>54</v>
      </c>
      <c r="E163" s="211"/>
      <c r="F163" s="190"/>
      <c r="G163" s="45"/>
      <c r="H163" s="45"/>
      <c r="I163" s="45"/>
      <c r="J163" s="45"/>
      <c r="K163" s="45"/>
      <c r="L163" s="45"/>
      <c r="M163" s="45"/>
      <c r="N163" s="45"/>
      <c r="O163" s="44">
        <v>0</v>
      </c>
    </row>
    <row r="164" spans="1:15" ht="15" thickBot="1" x14ac:dyDescent="0.4">
      <c r="A164" s="14"/>
      <c r="B164" s="49"/>
      <c r="C164" s="14"/>
      <c r="D164" s="17"/>
      <c r="F164" s="178"/>
      <c r="G164" s="7"/>
      <c r="H164" s="7"/>
      <c r="I164" s="7"/>
      <c r="J164" s="7"/>
      <c r="K164" s="7"/>
      <c r="L164" s="7"/>
      <c r="M164" s="7"/>
      <c r="N164" s="56"/>
      <c r="O164" s="46"/>
    </row>
    <row r="165" spans="1:15" ht="15" thickBot="1" x14ac:dyDescent="0.4">
      <c r="A165" s="14"/>
      <c r="B165" s="89"/>
      <c r="C165" s="52"/>
      <c r="D165" s="53"/>
      <c r="F165" s="200">
        <f>SUM(F156:F164)</f>
        <v>13200</v>
      </c>
      <c r="G165" s="55"/>
      <c r="H165" s="55"/>
      <c r="I165" s="56"/>
      <c r="J165" s="56"/>
      <c r="K165" s="56"/>
      <c r="L165" s="56"/>
      <c r="M165" s="88"/>
      <c r="N165" s="5"/>
      <c r="O165" s="47">
        <f>SUM(O156:O164)</f>
        <v>0</v>
      </c>
    </row>
    <row r="166" spans="1:15" ht="15" thickBot="1" x14ac:dyDescent="0.4">
      <c r="A166" s="14"/>
      <c r="B166" s="258" t="s">
        <v>31</v>
      </c>
      <c r="C166" s="75"/>
      <c r="D166" s="175"/>
      <c r="E166" s="217"/>
      <c r="F166" s="201"/>
      <c r="G166" s="77"/>
      <c r="H166" s="77"/>
      <c r="I166" s="77"/>
      <c r="J166" s="77"/>
      <c r="K166" s="77"/>
      <c r="L166" s="77"/>
      <c r="M166" s="77"/>
      <c r="N166" s="77"/>
      <c r="O166" s="76"/>
    </row>
    <row r="167" spans="1:15" x14ac:dyDescent="0.35">
      <c r="A167" s="14">
        <v>1</v>
      </c>
      <c r="B167" s="250" t="s">
        <v>53</v>
      </c>
      <c r="C167" s="58" t="s">
        <v>20</v>
      </c>
      <c r="D167" s="168" t="s">
        <v>54</v>
      </c>
      <c r="E167" s="211">
        <v>2400</v>
      </c>
      <c r="F167" s="189">
        <v>2400</v>
      </c>
      <c r="G167" s="60"/>
      <c r="H167" s="60"/>
      <c r="I167" s="59"/>
      <c r="J167" s="60"/>
      <c r="K167" s="60"/>
      <c r="L167" s="60"/>
      <c r="M167" s="60"/>
      <c r="N167" s="60"/>
      <c r="O167" s="59">
        <f t="shared" si="4"/>
        <v>0</v>
      </c>
    </row>
    <row r="168" spans="1:15" x14ac:dyDescent="0.35">
      <c r="A168" s="14">
        <v>2</v>
      </c>
      <c r="B168" s="139" t="s">
        <v>354</v>
      </c>
      <c r="C168" s="43" t="s">
        <v>20</v>
      </c>
      <c r="D168" s="169" t="s">
        <v>54</v>
      </c>
      <c r="E168" s="211">
        <v>2400</v>
      </c>
      <c r="F168" s="190">
        <v>1500</v>
      </c>
      <c r="G168" s="45"/>
      <c r="H168" s="45"/>
      <c r="I168" s="44">
        <v>900</v>
      </c>
      <c r="J168" s="45"/>
      <c r="K168" s="45"/>
      <c r="L168" s="45"/>
      <c r="M168" s="45"/>
      <c r="N168" s="45"/>
      <c r="O168" s="44">
        <f t="shared" si="4"/>
        <v>0</v>
      </c>
    </row>
    <row r="169" spans="1:15" x14ac:dyDescent="0.35">
      <c r="A169" s="14">
        <v>3</v>
      </c>
      <c r="B169" s="139" t="s">
        <v>240</v>
      </c>
      <c r="C169" s="43" t="s">
        <v>20</v>
      </c>
      <c r="D169" s="169" t="s">
        <v>54</v>
      </c>
      <c r="E169" s="211">
        <v>2400</v>
      </c>
      <c r="F169" s="190">
        <v>2400</v>
      </c>
      <c r="G169" s="45"/>
      <c r="H169" s="45"/>
      <c r="I169" s="45"/>
      <c r="J169" s="45"/>
      <c r="K169" s="45"/>
      <c r="L169" s="45"/>
      <c r="M169" s="45"/>
      <c r="N169" s="45"/>
      <c r="O169" s="44">
        <f t="shared" si="4"/>
        <v>0</v>
      </c>
    </row>
    <row r="170" spans="1:15" x14ac:dyDescent="0.35">
      <c r="A170" s="14">
        <v>4</v>
      </c>
      <c r="B170" s="139" t="s">
        <v>355</v>
      </c>
      <c r="C170" s="43" t="s">
        <v>20</v>
      </c>
      <c r="D170" s="169" t="s">
        <v>54</v>
      </c>
      <c r="E170" s="211">
        <v>2400</v>
      </c>
      <c r="F170" s="190">
        <v>1000</v>
      </c>
      <c r="G170" s="45"/>
      <c r="H170" s="45"/>
      <c r="I170" s="45"/>
      <c r="J170" s="45"/>
      <c r="K170" s="45"/>
      <c r="L170" s="45"/>
      <c r="M170" s="45"/>
      <c r="N170" s="45"/>
      <c r="O170" s="44">
        <f t="shared" si="4"/>
        <v>1400</v>
      </c>
    </row>
    <row r="171" spans="1:15" x14ac:dyDescent="0.35">
      <c r="A171" s="14">
        <v>5</v>
      </c>
      <c r="B171" s="139" t="s">
        <v>356</v>
      </c>
      <c r="C171" s="43" t="s">
        <v>20</v>
      </c>
      <c r="D171" s="169" t="s">
        <v>54</v>
      </c>
      <c r="E171" s="211">
        <v>2400</v>
      </c>
      <c r="F171" s="190">
        <v>2400</v>
      </c>
      <c r="G171" s="45"/>
      <c r="H171" s="45"/>
      <c r="I171" s="45"/>
      <c r="J171" s="45"/>
      <c r="K171" s="45"/>
      <c r="L171" s="45"/>
      <c r="M171" s="45"/>
      <c r="N171" s="45"/>
      <c r="O171" s="44">
        <f t="shared" si="4"/>
        <v>0</v>
      </c>
    </row>
    <row r="172" spans="1:15" x14ac:dyDescent="0.35">
      <c r="A172" s="14">
        <v>6</v>
      </c>
      <c r="B172" s="139" t="s">
        <v>357</v>
      </c>
      <c r="C172" s="43" t="s">
        <v>20</v>
      </c>
      <c r="D172" s="169" t="s">
        <v>54</v>
      </c>
      <c r="E172" s="211">
        <v>2400</v>
      </c>
      <c r="F172" s="190">
        <v>2400</v>
      </c>
      <c r="G172" s="45"/>
      <c r="H172" s="45"/>
      <c r="I172" s="45"/>
      <c r="J172" s="45"/>
      <c r="K172" s="45"/>
      <c r="L172" s="45"/>
      <c r="M172" s="45"/>
      <c r="N172" s="45"/>
      <c r="O172" s="44">
        <f t="shared" si="4"/>
        <v>0</v>
      </c>
    </row>
    <row r="173" spans="1:15" x14ac:dyDescent="0.35">
      <c r="A173" s="14">
        <v>7</v>
      </c>
      <c r="B173" s="139" t="s">
        <v>358</v>
      </c>
      <c r="C173" s="43" t="s">
        <v>20</v>
      </c>
      <c r="D173" s="169" t="s">
        <v>54</v>
      </c>
      <c r="E173" s="211">
        <v>2400</v>
      </c>
      <c r="F173" s="190">
        <v>2400</v>
      </c>
      <c r="G173" s="45"/>
      <c r="H173" s="45"/>
      <c r="I173" s="45"/>
      <c r="J173" s="45"/>
      <c r="K173" s="45"/>
      <c r="L173" s="45"/>
      <c r="M173" s="45"/>
      <c r="N173" s="45"/>
      <c r="O173" s="44">
        <f t="shared" si="4"/>
        <v>0</v>
      </c>
    </row>
    <row r="174" spans="1:15" x14ac:dyDescent="0.35">
      <c r="A174" s="14">
        <v>8</v>
      </c>
      <c r="B174" s="139" t="s">
        <v>359</v>
      </c>
      <c r="C174" s="43" t="s">
        <v>20</v>
      </c>
      <c r="D174" s="169" t="s">
        <v>54</v>
      </c>
      <c r="E174" s="211">
        <v>2400</v>
      </c>
      <c r="F174" s="190">
        <v>1500</v>
      </c>
      <c r="G174" s="45"/>
      <c r="H174" s="45"/>
      <c r="I174" s="45"/>
      <c r="J174" s="45"/>
      <c r="K174" s="45"/>
      <c r="L174" s="45"/>
      <c r="M174" s="45"/>
      <c r="N174" s="45"/>
      <c r="O174" s="44">
        <f t="shared" si="4"/>
        <v>900</v>
      </c>
    </row>
    <row r="175" spans="1:15" x14ac:dyDescent="0.35">
      <c r="A175" s="14">
        <v>9</v>
      </c>
      <c r="B175" s="139" t="s">
        <v>200</v>
      </c>
      <c r="C175" s="43" t="s">
        <v>22</v>
      </c>
      <c r="D175" s="169" t="s">
        <v>21</v>
      </c>
      <c r="E175" s="211">
        <v>2160</v>
      </c>
      <c r="F175" s="190">
        <v>2160</v>
      </c>
      <c r="G175" s="45"/>
      <c r="H175" s="45"/>
      <c r="I175" s="45"/>
      <c r="J175" s="45"/>
      <c r="K175" s="45"/>
      <c r="L175" s="45"/>
      <c r="M175" s="45"/>
      <c r="N175" s="45"/>
      <c r="O175" s="44">
        <v>0</v>
      </c>
    </row>
    <row r="176" spans="1:15" x14ac:dyDescent="0.35">
      <c r="A176" s="14">
        <v>10</v>
      </c>
      <c r="B176" s="139" t="s">
        <v>145</v>
      </c>
      <c r="C176" s="43" t="s">
        <v>22</v>
      </c>
      <c r="D176" s="169" t="s">
        <v>54</v>
      </c>
      <c r="E176" s="211">
        <v>2400</v>
      </c>
      <c r="F176" s="190">
        <v>2400</v>
      </c>
      <c r="G176" s="45"/>
      <c r="H176" s="45"/>
      <c r="I176" s="45"/>
      <c r="J176" s="45"/>
      <c r="K176" s="45"/>
      <c r="L176" s="45"/>
      <c r="M176" s="45"/>
      <c r="N176" s="45"/>
      <c r="O176" s="44">
        <f t="shared" si="4"/>
        <v>0</v>
      </c>
    </row>
    <row r="177" spans="1:15" x14ac:dyDescent="0.35">
      <c r="A177" s="14">
        <v>11</v>
      </c>
      <c r="B177" s="139" t="s">
        <v>360</v>
      </c>
      <c r="C177" s="43" t="s">
        <v>22</v>
      </c>
      <c r="D177" s="169" t="s">
        <v>54</v>
      </c>
      <c r="E177" s="211">
        <v>2400</v>
      </c>
      <c r="F177" s="190">
        <v>2400</v>
      </c>
      <c r="G177" s="45"/>
      <c r="H177" s="45"/>
      <c r="I177" s="44"/>
      <c r="J177" s="45"/>
      <c r="K177" s="45"/>
      <c r="L177" s="45"/>
      <c r="M177" s="45"/>
      <c r="N177" s="45"/>
      <c r="O177" s="44">
        <f t="shared" si="4"/>
        <v>0</v>
      </c>
    </row>
    <row r="178" spans="1:15" x14ac:dyDescent="0.35">
      <c r="A178" s="14">
        <v>12</v>
      </c>
      <c r="B178" s="139" t="s">
        <v>361</v>
      </c>
      <c r="C178" s="43" t="s">
        <v>22</v>
      </c>
      <c r="D178" s="169" t="s">
        <v>54</v>
      </c>
      <c r="E178" s="211">
        <v>2400</v>
      </c>
      <c r="F178" s="190">
        <v>2400</v>
      </c>
      <c r="G178" s="45"/>
      <c r="H178" s="45"/>
      <c r="I178" s="45"/>
      <c r="J178" s="45"/>
      <c r="K178" s="45"/>
      <c r="L178" s="45"/>
      <c r="M178" s="45"/>
      <c r="N178" s="45"/>
      <c r="O178" s="44">
        <f t="shared" si="4"/>
        <v>0</v>
      </c>
    </row>
    <row r="179" spans="1:15" x14ac:dyDescent="0.35">
      <c r="A179" s="14">
        <v>13</v>
      </c>
      <c r="B179" s="139" t="s">
        <v>362</v>
      </c>
      <c r="C179" s="43" t="s">
        <v>22</v>
      </c>
      <c r="D179" s="169" t="s">
        <v>54</v>
      </c>
      <c r="E179" s="211">
        <v>2400</v>
      </c>
      <c r="F179" s="190">
        <v>1200</v>
      </c>
      <c r="G179" s="146"/>
      <c r="H179" s="146"/>
      <c r="I179" s="44">
        <v>1200</v>
      </c>
      <c r="J179" s="45"/>
      <c r="K179" s="45"/>
      <c r="L179" s="45"/>
      <c r="M179" s="45"/>
      <c r="N179" s="45"/>
      <c r="O179" s="44">
        <f t="shared" si="4"/>
        <v>0</v>
      </c>
    </row>
    <row r="180" spans="1:15" x14ac:dyDescent="0.35">
      <c r="A180" s="14">
        <v>14</v>
      </c>
      <c r="B180" s="139" t="s">
        <v>363</v>
      </c>
      <c r="C180" s="43" t="s">
        <v>22</v>
      </c>
      <c r="D180" s="169" t="s">
        <v>54</v>
      </c>
      <c r="E180" s="211">
        <v>2400</v>
      </c>
      <c r="F180" s="190">
        <v>1400</v>
      </c>
      <c r="G180" s="45"/>
      <c r="H180" s="45"/>
      <c r="I180" s="44">
        <v>1000</v>
      </c>
      <c r="J180" s="45"/>
      <c r="K180" s="45"/>
      <c r="L180" s="45"/>
      <c r="M180" s="45"/>
      <c r="N180" s="45"/>
      <c r="O180" s="44">
        <f t="shared" si="4"/>
        <v>0</v>
      </c>
    </row>
    <row r="181" spans="1:15" x14ac:dyDescent="0.35">
      <c r="A181" s="14">
        <v>15</v>
      </c>
      <c r="B181" s="139" t="s">
        <v>364</v>
      </c>
      <c r="C181" s="43" t="s">
        <v>22</v>
      </c>
      <c r="D181" s="169" t="s">
        <v>54</v>
      </c>
      <c r="E181" s="211">
        <v>2400</v>
      </c>
      <c r="F181" s="190">
        <v>1200</v>
      </c>
      <c r="G181" s="45"/>
      <c r="H181" s="45"/>
      <c r="I181" s="44">
        <v>1200</v>
      </c>
      <c r="J181" s="45"/>
      <c r="K181" s="45"/>
      <c r="L181" s="45"/>
      <c r="M181" s="45"/>
      <c r="N181" s="45"/>
      <c r="O181" s="44">
        <f t="shared" si="4"/>
        <v>0</v>
      </c>
    </row>
    <row r="182" spans="1:15" x14ac:dyDescent="0.35">
      <c r="A182" s="14">
        <v>16</v>
      </c>
      <c r="B182" s="139" t="s">
        <v>120</v>
      </c>
      <c r="C182" s="43" t="s">
        <v>22</v>
      </c>
      <c r="D182" s="169" t="s">
        <v>54</v>
      </c>
      <c r="E182" s="211">
        <v>2400</v>
      </c>
      <c r="F182" s="190">
        <v>2400</v>
      </c>
      <c r="G182" s="45"/>
      <c r="H182" s="45"/>
      <c r="I182" s="45"/>
      <c r="J182" s="45"/>
      <c r="K182" s="45"/>
      <c r="L182" s="45"/>
      <c r="M182" s="45"/>
      <c r="N182" s="45"/>
      <c r="O182" s="44"/>
    </row>
    <row r="183" spans="1:15" x14ac:dyDescent="0.35">
      <c r="A183" s="14">
        <v>17</v>
      </c>
      <c r="B183" s="139" t="s">
        <v>365</v>
      </c>
      <c r="C183" s="43" t="s">
        <v>22</v>
      </c>
      <c r="D183" s="169" t="s">
        <v>54</v>
      </c>
      <c r="E183" s="211">
        <v>2400</v>
      </c>
      <c r="F183" s="190">
        <v>2400</v>
      </c>
      <c r="G183" s="45"/>
      <c r="H183" s="45"/>
      <c r="I183" s="45"/>
      <c r="J183" s="45"/>
      <c r="K183" s="45"/>
      <c r="L183" s="45"/>
      <c r="M183" s="45"/>
      <c r="N183" s="45"/>
      <c r="O183" s="44"/>
    </row>
    <row r="184" spans="1:15" x14ac:dyDescent="0.35">
      <c r="A184" s="14">
        <v>18</v>
      </c>
      <c r="B184" s="139" t="s">
        <v>366</v>
      </c>
      <c r="C184" s="43" t="s">
        <v>22</v>
      </c>
      <c r="D184" s="169" t="s">
        <v>21</v>
      </c>
      <c r="E184" s="211">
        <v>2400</v>
      </c>
      <c r="F184" s="190">
        <v>1200</v>
      </c>
      <c r="G184" s="45"/>
      <c r="H184" s="45"/>
      <c r="I184" s="44">
        <v>1200</v>
      </c>
      <c r="J184" s="45"/>
      <c r="K184" s="45"/>
      <c r="L184" s="45"/>
      <c r="M184" s="45"/>
      <c r="N184" s="45"/>
      <c r="O184" s="44">
        <v>0</v>
      </c>
    </row>
    <row r="185" spans="1:15" x14ac:dyDescent="0.35">
      <c r="A185" s="14">
        <v>19</v>
      </c>
      <c r="B185" s="139" t="s">
        <v>440</v>
      </c>
      <c r="C185" s="43" t="s">
        <v>22</v>
      </c>
      <c r="D185" s="169" t="s">
        <v>54</v>
      </c>
      <c r="E185" s="211">
        <v>2400</v>
      </c>
      <c r="F185" s="190">
        <v>1200</v>
      </c>
      <c r="G185" s="45"/>
      <c r="H185" s="45"/>
      <c r="I185" s="45"/>
      <c r="J185" s="45"/>
      <c r="K185" s="45"/>
      <c r="L185" s="45"/>
      <c r="M185" s="45"/>
      <c r="N185" s="45"/>
      <c r="O185" s="44">
        <v>0</v>
      </c>
    </row>
    <row r="186" spans="1:15" ht="15" thickBot="1" x14ac:dyDescent="0.4">
      <c r="A186" s="14"/>
      <c r="B186" s="49"/>
      <c r="C186" s="14"/>
      <c r="D186" s="17"/>
      <c r="F186" s="178"/>
      <c r="G186" s="7"/>
      <c r="H186" s="7"/>
      <c r="I186" s="7"/>
      <c r="J186" s="7"/>
      <c r="K186" s="7"/>
      <c r="L186" s="7"/>
      <c r="M186" s="7"/>
      <c r="N186" s="56"/>
      <c r="O186" s="46"/>
    </row>
    <row r="187" spans="1:15" ht="15" thickBot="1" x14ac:dyDescent="0.4">
      <c r="A187" s="14"/>
      <c r="B187" s="89"/>
      <c r="C187" s="52"/>
      <c r="D187" s="53"/>
      <c r="F187" s="200">
        <f>SUM(F167:F186)</f>
        <v>36360</v>
      </c>
      <c r="G187" s="55"/>
      <c r="H187" s="55"/>
      <c r="I187" s="56"/>
      <c r="J187" s="56"/>
      <c r="K187" s="56"/>
      <c r="L187" s="56"/>
      <c r="M187" s="88"/>
      <c r="N187" s="5"/>
      <c r="O187" s="47">
        <f>SUM(O167:O186)</f>
        <v>2300</v>
      </c>
    </row>
    <row r="188" spans="1:15" ht="15" thickBot="1" x14ac:dyDescent="0.4">
      <c r="A188" s="14"/>
      <c r="B188" s="259" t="s">
        <v>32</v>
      </c>
      <c r="C188" s="80"/>
      <c r="D188" s="176"/>
      <c r="E188" s="218"/>
      <c r="F188" s="202"/>
      <c r="G188" s="82"/>
      <c r="H188" s="82"/>
      <c r="I188" s="82"/>
      <c r="J188" s="82"/>
      <c r="K188" s="82"/>
      <c r="L188" s="82"/>
      <c r="M188" s="82"/>
      <c r="N188" s="82"/>
      <c r="O188" s="81"/>
    </row>
    <row r="189" spans="1:15" x14ac:dyDescent="0.35">
      <c r="A189" s="14">
        <v>1</v>
      </c>
      <c r="B189" s="250" t="s">
        <v>344</v>
      </c>
      <c r="C189" s="58" t="s">
        <v>20</v>
      </c>
      <c r="D189" s="168" t="s">
        <v>54</v>
      </c>
      <c r="E189" s="211">
        <v>2400</v>
      </c>
      <c r="F189" s="189">
        <v>2400</v>
      </c>
      <c r="G189" s="60"/>
      <c r="H189" s="60"/>
      <c r="I189" s="59"/>
      <c r="J189" s="60"/>
      <c r="K189" s="60"/>
      <c r="L189" s="60"/>
      <c r="M189" s="60"/>
      <c r="N189" s="60"/>
      <c r="O189" s="59">
        <f>2400-(F189+I189+L189)</f>
        <v>0</v>
      </c>
    </row>
    <row r="190" spans="1:15" x14ac:dyDescent="0.35">
      <c r="A190" s="14">
        <v>2</v>
      </c>
      <c r="B190" s="139" t="s">
        <v>345</v>
      </c>
      <c r="C190" s="43" t="s">
        <v>20</v>
      </c>
      <c r="D190" s="169" t="s">
        <v>54</v>
      </c>
      <c r="E190" s="211">
        <v>2160</v>
      </c>
      <c r="F190" s="190">
        <v>1500</v>
      </c>
      <c r="G190" s="45"/>
      <c r="H190" s="45"/>
      <c r="I190" s="44">
        <v>900</v>
      </c>
      <c r="J190" s="373">
        <v>46083</v>
      </c>
      <c r="K190" s="45"/>
      <c r="L190" s="45"/>
      <c r="M190" s="45"/>
      <c r="N190" s="45"/>
      <c r="O190" s="44">
        <f t="shared" si="4"/>
        <v>0</v>
      </c>
    </row>
    <row r="191" spans="1:15" x14ac:dyDescent="0.35">
      <c r="A191" s="14">
        <v>3</v>
      </c>
      <c r="B191" s="139" t="s">
        <v>208</v>
      </c>
      <c r="C191" s="43" t="s">
        <v>20</v>
      </c>
      <c r="D191" s="169" t="s">
        <v>54</v>
      </c>
      <c r="E191" s="211">
        <v>2400</v>
      </c>
      <c r="F191" s="190">
        <v>2400</v>
      </c>
      <c r="G191" s="45"/>
      <c r="H191" s="45"/>
      <c r="I191" s="45"/>
      <c r="J191" s="45"/>
      <c r="K191" s="45"/>
      <c r="L191" s="45"/>
      <c r="M191" s="45"/>
      <c r="N191" s="45"/>
      <c r="O191" s="44">
        <f t="shared" si="4"/>
        <v>0</v>
      </c>
    </row>
    <row r="192" spans="1:15" x14ac:dyDescent="0.35">
      <c r="A192" s="14">
        <v>4</v>
      </c>
      <c r="B192" s="139" t="s">
        <v>346</v>
      </c>
      <c r="C192" s="43" t="s">
        <v>20</v>
      </c>
      <c r="D192" s="169" t="s">
        <v>54</v>
      </c>
      <c r="E192" s="211">
        <v>2160</v>
      </c>
      <c r="F192" s="190">
        <v>2160</v>
      </c>
      <c r="G192" s="45"/>
      <c r="H192" s="45"/>
      <c r="I192" s="45"/>
      <c r="J192" s="45"/>
      <c r="K192" s="45"/>
      <c r="L192" s="45"/>
      <c r="M192" s="45"/>
      <c r="N192" s="45"/>
      <c r="O192" s="44">
        <v>0</v>
      </c>
    </row>
    <row r="193" spans="1:15" x14ac:dyDescent="0.35">
      <c r="A193" s="14">
        <v>5</v>
      </c>
      <c r="B193" s="139" t="s">
        <v>347</v>
      </c>
      <c r="C193" s="43" t="s">
        <v>20</v>
      </c>
      <c r="D193" s="169" t="s">
        <v>54</v>
      </c>
      <c r="E193" s="211">
        <v>2400</v>
      </c>
      <c r="F193" s="190">
        <v>2000</v>
      </c>
      <c r="G193" s="45"/>
      <c r="H193" s="45"/>
      <c r="I193" s="44">
        <v>400</v>
      </c>
      <c r="J193" s="45"/>
      <c r="K193" s="45"/>
      <c r="L193" s="45"/>
      <c r="M193" s="45"/>
      <c r="N193" s="45"/>
      <c r="O193" s="44">
        <f t="shared" si="4"/>
        <v>0</v>
      </c>
    </row>
    <row r="194" spans="1:15" x14ac:dyDescent="0.35">
      <c r="A194" s="14">
        <v>6</v>
      </c>
      <c r="B194" s="139" t="s">
        <v>348</v>
      </c>
      <c r="C194" s="43" t="s">
        <v>20</v>
      </c>
      <c r="D194" s="169" t="s">
        <v>54</v>
      </c>
      <c r="E194" s="211">
        <v>2400</v>
      </c>
      <c r="F194" s="190">
        <v>1200</v>
      </c>
      <c r="G194" s="45"/>
      <c r="H194" s="45"/>
      <c r="I194" s="44">
        <v>1200</v>
      </c>
      <c r="J194" s="45"/>
      <c r="K194" s="45"/>
      <c r="L194" s="45"/>
      <c r="M194" s="45"/>
      <c r="N194" s="45"/>
      <c r="O194" s="44">
        <f t="shared" si="4"/>
        <v>0</v>
      </c>
    </row>
    <row r="195" spans="1:15" x14ac:dyDescent="0.35">
      <c r="A195" s="14">
        <v>7</v>
      </c>
      <c r="B195" s="139" t="s">
        <v>154</v>
      </c>
      <c r="C195" s="43" t="s">
        <v>20</v>
      </c>
      <c r="D195" s="169" t="s">
        <v>54</v>
      </c>
      <c r="E195" s="211">
        <v>2400</v>
      </c>
      <c r="F195" s="190">
        <v>2400</v>
      </c>
      <c r="G195" s="45"/>
      <c r="H195" s="45"/>
      <c r="I195" s="45"/>
      <c r="J195" s="45"/>
      <c r="K195" s="45"/>
      <c r="L195" s="45"/>
      <c r="M195" s="45"/>
      <c r="N195" s="45"/>
      <c r="O195" s="44">
        <f t="shared" ref="O195:O201" si="5">2400-(F195+I195+L195)</f>
        <v>0</v>
      </c>
    </row>
    <row r="196" spans="1:15" x14ac:dyDescent="0.35">
      <c r="A196" s="14">
        <v>9</v>
      </c>
      <c r="B196" s="139" t="s">
        <v>122</v>
      </c>
      <c r="C196" s="43" t="s">
        <v>22</v>
      </c>
      <c r="D196" s="169" t="s">
        <v>54</v>
      </c>
      <c r="E196" s="211">
        <v>2400</v>
      </c>
      <c r="F196" s="190">
        <v>1200</v>
      </c>
      <c r="G196" s="45"/>
      <c r="H196" s="45"/>
      <c r="I196" s="44">
        <v>1200</v>
      </c>
      <c r="J196" s="45"/>
      <c r="K196" s="45"/>
      <c r="L196" s="45"/>
      <c r="M196" s="45"/>
      <c r="N196" s="45"/>
      <c r="O196" s="44">
        <v>0</v>
      </c>
    </row>
    <row r="197" spans="1:15" x14ac:dyDescent="0.35">
      <c r="A197" s="14">
        <v>10</v>
      </c>
      <c r="B197" s="139" t="s">
        <v>242</v>
      </c>
      <c r="C197" s="43" t="s">
        <v>22</v>
      </c>
      <c r="D197" s="169" t="s">
        <v>54</v>
      </c>
      <c r="E197" s="211">
        <v>2400</v>
      </c>
      <c r="F197" s="190">
        <v>1200</v>
      </c>
      <c r="G197" s="45"/>
      <c r="H197" s="45"/>
      <c r="I197" s="44">
        <v>1200</v>
      </c>
      <c r="J197" s="45"/>
      <c r="K197" s="45"/>
      <c r="L197" s="45"/>
      <c r="M197" s="45"/>
      <c r="N197" s="45"/>
      <c r="O197" s="44">
        <f t="shared" si="5"/>
        <v>0</v>
      </c>
    </row>
    <row r="198" spans="1:15" x14ac:dyDescent="0.35">
      <c r="A198" s="14">
        <v>11</v>
      </c>
      <c r="B198" s="139" t="s">
        <v>350</v>
      </c>
      <c r="C198" s="43" t="s">
        <v>22</v>
      </c>
      <c r="D198" s="169" t="s">
        <v>54</v>
      </c>
      <c r="E198" s="211">
        <v>2400</v>
      </c>
      <c r="F198" s="190">
        <v>2400</v>
      </c>
      <c r="G198" s="45"/>
      <c r="H198" s="45"/>
      <c r="I198" s="45"/>
      <c r="J198" s="45"/>
      <c r="K198" s="45"/>
      <c r="L198" s="45"/>
      <c r="M198" s="45"/>
      <c r="N198" s="45"/>
      <c r="O198" s="44">
        <f t="shared" si="5"/>
        <v>0</v>
      </c>
    </row>
    <row r="199" spans="1:15" x14ac:dyDescent="0.35">
      <c r="A199" s="14">
        <v>12</v>
      </c>
      <c r="B199" s="139" t="s">
        <v>351</v>
      </c>
      <c r="C199" s="43" t="s">
        <v>22</v>
      </c>
      <c r="D199" s="169" t="s">
        <v>54</v>
      </c>
      <c r="E199" s="211">
        <v>2400</v>
      </c>
      <c r="F199" s="190">
        <v>1000</v>
      </c>
      <c r="G199" s="45"/>
      <c r="H199" s="45"/>
      <c r="I199" s="44">
        <v>750</v>
      </c>
      <c r="J199" s="373">
        <v>46083</v>
      </c>
      <c r="K199" s="45"/>
      <c r="L199" s="45"/>
      <c r="M199" s="45"/>
      <c r="N199" s="45"/>
      <c r="O199" s="44">
        <f t="shared" si="5"/>
        <v>650</v>
      </c>
    </row>
    <row r="200" spans="1:15" x14ac:dyDescent="0.35">
      <c r="A200" s="14">
        <v>13</v>
      </c>
      <c r="B200" s="139" t="s">
        <v>352</v>
      </c>
      <c r="C200" s="43" t="s">
        <v>22</v>
      </c>
      <c r="D200" s="169" t="s">
        <v>54</v>
      </c>
      <c r="E200" s="211">
        <v>2160</v>
      </c>
      <c r="F200" s="190">
        <v>1350</v>
      </c>
      <c r="G200" s="45"/>
      <c r="H200" s="45"/>
      <c r="I200" s="44">
        <v>810</v>
      </c>
      <c r="J200" s="45"/>
      <c r="K200" s="45"/>
      <c r="L200" s="45"/>
      <c r="M200" s="45"/>
      <c r="N200" s="45"/>
      <c r="O200" s="44">
        <v>0</v>
      </c>
    </row>
    <row r="201" spans="1:15" x14ac:dyDescent="0.35">
      <c r="A201" s="14">
        <v>14</v>
      </c>
      <c r="B201" s="139" t="s">
        <v>353</v>
      </c>
      <c r="C201" s="43" t="s">
        <v>22</v>
      </c>
      <c r="D201" s="169" t="s">
        <v>54</v>
      </c>
      <c r="E201" s="211">
        <v>2400</v>
      </c>
      <c r="F201" s="190">
        <v>2400</v>
      </c>
      <c r="G201" s="45"/>
      <c r="H201" s="45"/>
      <c r="I201" s="45"/>
      <c r="J201" s="45"/>
      <c r="K201" s="45"/>
      <c r="L201" s="45"/>
      <c r="M201" s="45"/>
      <c r="N201" s="45"/>
      <c r="O201" s="44">
        <f t="shared" si="5"/>
        <v>0</v>
      </c>
    </row>
    <row r="202" spans="1:15" x14ac:dyDescent="0.35">
      <c r="A202" s="14"/>
      <c r="B202" s="139"/>
      <c r="C202" s="43" t="s">
        <v>20</v>
      </c>
      <c r="D202" s="169" t="s">
        <v>54</v>
      </c>
      <c r="E202" s="211"/>
      <c r="F202" s="190"/>
      <c r="G202" s="45"/>
      <c r="H202" s="45"/>
      <c r="I202" s="45"/>
      <c r="J202" s="45"/>
      <c r="K202" s="45"/>
      <c r="L202" s="45"/>
      <c r="M202" s="45"/>
      <c r="N202" s="45"/>
      <c r="O202" s="44">
        <v>0</v>
      </c>
    </row>
    <row r="203" spans="1:15" ht="15" thickBot="1" x14ac:dyDescent="0.4">
      <c r="A203" s="14"/>
      <c r="B203" s="49"/>
      <c r="C203" s="14"/>
      <c r="D203" s="17"/>
      <c r="F203" s="178"/>
      <c r="G203" s="7"/>
      <c r="H203" s="7"/>
      <c r="I203" s="7"/>
      <c r="J203" s="7"/>
      <c r="K203" s="7"/>
      <c r="L203" s="7"/>
      <c r="M203" s="16"/>
      <c r="N203" s="7"/>
      <c r="O203" s="23"/>
    </row>
    <row r="204" spans="1:15" ht="15" thickBot="1" x14ac:dyDescent="0.4">
      <c r="A204" s="14"/>
      <c r="B204" s="49"/>
      <c r="C204" s="14"/>
      <c r="D204" s="17"/>
      <c r="F204" s="232">
        <f>SUM(F189:F203)</f>
        <v>23610</v>
      </c>
      <c r="G204" s="49"/>
      <c r="H204" s="49"/>
      <c r="I204" s="14"/>
      <c r="J204" s="14"/>
      <c r="K204" s="14"/>
      <c r="L204" s="14"/>
      <c r="M204" s="17"/>
      <c r="N204" s="14"/>
      <c r="O204" s="233">
        <f>SUM(O189:O203)</f>
        <v>650</v>
      </c>
    </row>
    <row r="205" spans="1:15" x14ac:dyDescent="0.35">
      <c r="A205" s="14"/>
      <c r="B205" s="49"/>
      <c r="C205" s="14"/>
      <c r="D205" s="17"/>
      <c r="F205" s="203"/>
      <c r="G205" s="52"/>
      <c r="H205" s="52"/>
      <c r="I205" s="52"/>
      <c r="J205" s="52"/>
      <c r="K205" s="52"/>
      <c r="L205" s="52"/>
      <c r="M205" s="53"/>
      <c r="N205" s="14"/>
      <c r="O205" s="160"/>
    </row>
    <row r="206" spans="1:15" ht="15" thickBot="1" x14ac:dyDescent="0.4">
      <c r="A206" s="14"/>
      <c r="B206" s="260" t="s">
        <v>231</v>
      </c>
      <c r="C206" s="32"/>
      <c r="D206" s="179"/>
      <c r="E206" s="219">
        <f>SUM(E9:E205)</f>
        <v>374640</v>
      </c>
      <c r="F206" s="204">
        <f>F204+F187+F165+F154+F138+F114+F94+F68+F42+F19</f>
        <v>282660</v>
      </c>
      <c r="G206" s="234"/>
      <c r="H206" s="234"/>
      <c r="I206" s="235">
        <f>SUM(I9:I205)</f>
        <v>67720</v>
      </c>
      <c r="J206" s="205"/>
      <c r="K206" s="205"/>
      <c r="L206" s="219">
        <f>SUM(L9:L205)</f>
        <v>400</v>
      </c>
      <c r="M206" s="236"/>
      <c r="N206" s="234"/>
      <c r="O206" s="219">
        <f>O204+O187+O165+O154+O138+O114+O94+O68+O42+O19</f>
        <v>21940</v>
      </c>
    </row>
    <row r="207" spans="1:15" x14ac:dyDescent="0.35">
      <c r="A207" s="14"/>
      <c r="E207" s="220"/>
    </row>
    <row r="208" spans="1:15" x14ac:dyDescent="0.35">
      <c r="A208" s="14"/>
      <c r="E208" s="221"/>
    </row>
    <row r="209" spans="5:5" x14ac:dyDescent="0.35">
      <c r="E209" s="221"/>
    </row>
    <row r="210" spans="5:5" x14ac:dyDescent="0.35">
      <c r="E210" s="221"/>
    </row>
    <row r="211" spans="5:5" x14ac:dyDescent="0.35">
      <c r="E211" s="221"/>
    </row>
    <row r="212" spans="5:5" x14ac:dyDescent="0.35">
      <c r="E212" s="221"/>
    </row>
    <row r="213" spans="5:5" x14ac:dyDescent="0.35">
      <c r="E213" s="221"/>
    </row>
    <row r="214" spans="5:5" x14ac:dyDescent="0.35">
      <c r="E214" s="221"/>
    </row>
    <row r="215" spans="5:5" x14ac:dyDescent="0.35">
      <c r="E215" s="221"/>
    </row>
    <row r="216" spans="5:5" x14ac:dyDescent="0.35">
      <c r="E216" s="221"/>
    </row>
    <row r="217" spans="5:5" x14ac:dyDescent="0.35">
      <c r="E217" s="221"/>
    </row>
    <row r="218" spans="5:5" x14ac:dyDescent="0.35">
      <c r="E218" s="221"/>
    </row>
    <row r="219" spans="5:5" x14ac:dyDescent="0.35">
      <c r="E219" s="221"/>
    </row>
    <row r="220" spans="5:5" x14ac:dyDescent="0.35">
      <c r="E220" s="221"/>
    </row>
    <row r="221" spans="5:5" x14ac:dyDescent="0.35">
      <c r="E221" s="221"/>
    </row>
    <row r="222" spans="5:5" x14ac:dyDescent="0.35">
      <c r="E222" s="221"/>
    </row>
    <row r="223" spans="5:5" x14ac:dyDescent="0.35">
      <c r="E223" s="221"/>
    </row>
    <row r="224" spans="5:5" x14ac:dyDescent="0.35">
      <c r="E224" s="221"/>
    </row>
    <row r="225" spans="5:5" x14ac:dyDescent="0.35">
      <c r="E225" s="221"/>
    </row>
    <row r="226" spans="5:5" x14ac:dyDescent="0.35">
      <c r="E226" s="221"/>
    </row>
    <row r="227" spans="5:5" x14ac:dyDescent="0.35">
      <c r="E227" s="221"/>
    </row>
    <row r="228" spans="5:5" x14ac:dyDescent="0.35">
      <c r="E228" s="221"/>
    </row>
    <row r="229" spans="5:5" x14ac:dyDescent="0.35">
      <c r="E229" s="221"/>
    </row>
    <row r="230" spans="5:5" x14ac:dyDescent="0.35">
      <c r="E230" s="221"/>
    </row>
    <row r="231" spans="5:5" x14ac:dyDescent="0.35">
      <c r="E231" s="221"/>
    </row>
    <row r="232" spans="5:5" x14ac:dyDescent="0.35">
      <c r="E232" s="221"/>
    </row>
    <row r="233" spans="5:5" x14ac:dyDescent="0.35">
      <c r="E233" s="221"/>
    </row>
    <row r="234" spans="5:5" x14ac:dyDescent="0.35">
      <c r="E234" s="221"/>
    </row>
    <row r="235" spans="5:5" x14ac:dyDescent="0.35">
      <c r="E235" s="221"/>
    </row>
    <row r="236" spans="5:5" x14ac:dyDescent="0.35">
      <c r="E236" s="221"/>
    </row>
    <row r="237" spans="5:5" x14ac:dyDescent="0.35">
      <c r="E237" s="221"/>
    </row>
    <row r="238" spans="5:5" x14ac:dyDescent="0.35">
      <c r="E238" s="221"/>
    </row>
    <row r="239" spans="5:5" x14ac:dyDescent="0.35">
      <c r="E239" s="221"/>
    </row>
    <row r="240" spans="5:5" x14ac:dyDescent="0.35">
      <c r="E240" s="221"/>
    </row>
    <row r="241" spans="5:5" x14ac:dyDescent="0.35">
      <c r="E241" s="221"/>
    </row>
    <row r="242" spans="5:5" x14ac:dyDescent="0.35">
      <c r="E242" s="221"/>
    </row>
    <row r="243" spans="5:5" x14ac:dyDescent="0.35">
      <c r="E243" s="221"/>
    </row>
    <row r="244" spans="5:5" x14ac:dyDescent="0.35">
      <c r="E244" s="221"/>
    </row>
    <row r="245" spans="5:5" x14ac:dyDescent="0.35">
      <c r="E245" s="221"/>
    </row>
    <row r="246" spans="5:5" x14ac:dyDescent="0.35">
      <c r="E246" s="221"/>
    </row>
    <row r="247" spans="5:5" x14ac:dyDescent="0.35">
      <c r="E247" s="221"/>
    </row>
    <row r="248" spans="5:5" x14ac:dyDescent="0.35">
      <c r="E248" s="221"/>
    </row>
    <row r="249" spans="5:5" x14ac:dyDescent="0.35">
      <c r="E249" s="221"/>
    </row>
    <row r="250" spans="5:5" x14ac:dyDescent="0.35">
      <c r="E250" s="221"/>
    </row>
    <row r="251" spans="5:5" x14ac:dyDescent="0.35">
      <c r="E251" s="221"/>
    </row>
    <row r="252" spans="5:5" x14ac:dyDescent="0.35">
      <c r="E252" s="221"/>
    </row>
    <row r="253" spans="5:5" x14ac:dyDescent="0.35">
      <c r="E253" s="221"/>
    </row>
    <row r="254" spans="5:5" x14ac:dyDescent="0.35">
      <c r="E254" s="221"/>
    </row>
    <row r="255" spans="5:5" x14ac:dyDescent="0.35">
      <c r="E255" s="221"/>
    </row>
    <row r="256" spans="5:5" x14ac:dyDescent="0.35">
      <c r="E256" s="221"/>
    </row>
    <row r="257" spans="5:5" x14ac:dyDescent="0.35">
      <c r="E257" s="221"/>
    </row>
    <row r="258" spans="5:5" x14ac:dyDescent="0.35">
      <c r="E258" s="221"/>
    </row>
    <row r="259" spans="5:5" x14ac:dyDescent="0.35">
      <c r="E259" s="221"/>
    </row>
    <row r="260" spans="5:5" x14ac:dyDescent="0.35">
      <c r="E260" s="221"/>
    </row>
    <row r="261" spans="5:5" x14ac:dyDescent="0.35">
      <c r="E261" s="221"/>
    </row>
    <row r="262" spans="5:5" x14ac:dyDescent="0.35">
      <c r="E262" s="221"/>
    </row>
    <row r="263" spans="5:5" x14ac:dyDescent="0.35">
      <c r="E263" s="221"/>
    </row>
    <row r="264" spans="5:5" x14ac:dyDescent="0.35">
      <c r="E264" s="221"/>
    </row>
    <row r="265" spans="5:5" x14ac:dyDescent="0.35">
      <c r="E265" s="221"/>
    </row>
    <row r="266" spans="5:5" x14ac:dyDescent="0.35">
      <c r="E266" s="221"/>
    </row>
    <row r="267" spans="5:5" x14ac:dyDescent="0.35">
      <c r="E267" s="221"/>
    </row>
    <row r="268" spans="5:5" x14ac:dyDescent="0.35">
      <c r="E268" s="221"/>
    </row>
    <row r="269" spans="5:5" x14ac:dyDescent="0.35">
      <c r="E269" s="221"/>
    </row>
    <row r="270" spans="5:5" x14ac:dyDescent="0.35">
      <c r="E270" s="221"/>
    </row>
    <row r="271" spans="5:5" x14ac:dyDescent="0.35">
      <c r="E271" s="221"/>
    </row>
    <row r="272" spans="5:5" x14ac:dyDescent="0.35">
      <c r="E272" s="221"/>
    </row>
    <row r="273" spans="5:5" x14ac:dyDescent="0.35">
      <c r="E273" s="221"/>
    </row>
    <row r="274" spans="5:5" x14ac:dyDescent="0.35">
      <c r="E274" s="221"/>
    </row>
    <row r="275" spans="5:5" x14ac:dyDescent="0.35">
      <c r="E275" s="221"/>
    </row>
    <row r="276" spans="5:5" x14ac:dyDescent="0.35">
      <c r="E276" s="221"/>
    </row>
    <row r="277" spans="5:5" x14ac:dyDescent="0.35">
      <c r="E277" s="221"/>
    </row>
    <row r="278" spans="5:5" x14ac:dyDescent="0.35">
      <c r="E278" s="221"/>
    </row>
    <row r="279" spans="5:5" x14ac:dyDescent="0.35">
      <c r="E279" s="221"/>
    </row>
    <row r="280" spans="5:5" x14ac:dyDescent="0.35">
      <c r="E280" s="221"/>
    </row>
    <row r="281" spans="5:5" x14ac:dyDescent="0.35">
      <c r="E281" s="221"/>
    </row>
    <row r="282" spans="5:5" x14ac:dyDescent="0.35">
      <c r="E282" s="221"/>
    </row>
    <row r="283" spans="5:5" x14ac:dyDescent="0.35">
      <c r="E283" s="221"/>
    </row>
    <row r="284" spans="5:5" x14ac:dyDescent="0.35">
      <c r="E284" s="221"/>
    </row>
    <row r="285" spans="5:5" x14ac:dyDescent="0.35">
      <c r="E285" s="221"/>
    </row>
    <row r="286" spans="5:5" x14ac:dyDescent="0.35">
      <c r="E286" s="221"/>
    </row>
    <row r="287" spans="5:5" x14ac:dyDescent="0.35">
      <c r="E287" s="221"/>
    </row>
    <row r="288" spans="5:5" x14ac:dyDescent="0.35">
      <c r="E288" s="221"/>
    </row>
    <row r="289" spans="5:5" x14ac:dyDescent="0.35">
      <c r="E289" s="221"/>
    </row>
    <row r="290" spans="5:5" x14ac:dyDescent="0.35">
      <c r="E290" s="221"/>
    </row>
    <row r="291" spans="5:5" x14ac:dyDescent="0.35">
      <c r="E291" s="221"/>
    </row>
    <row r="292" spans="5:5" x14ac:dyDescent="0.35">
      <c r="E292" s="221"/>
    </row>
    <row r="293" spans="5:5" x14ac:dyDescent="0.35">
      <c r="E293" s="221"/>
    </row>
    <row r="294" spans="5:5" x14ac:dyDescent="0.35">
      <c r="E294" s="221"/>
    </row>
    <row r="295" spans="5:5" x14ac:dyDescent="0.35">
      <c r="E295" s="221"/>
    </row>
    <row r="296" spans="5:5" x14ac:dyDescent="0.35">
      <c r="E296" s="221"/>
    </row>
    <row r="297" spans="5:5" x14ac:dyDescent="0.35">
      <c r="E297" s="221"/>
    </row>
    <row r="298" spans="5:5" x14ac:dyDescent="0.35">
      <c r="E298" s="221"/>
    </row>
    <row r="299" spans="5:5" x14ac:dyDescent="0.35">
      <c r="E299" s="221"/>
    </row>
    <row r="300" spans="5:5" x14ac:dyDescent="0.35">
      <c r="E300" s="221"/>
    </row>
    <row r="301" spans="5:5" x14ac:dyDescent="0.35">
      <c r="E301" s="221"/>
    </row>
    <row r="302" spans="5:5" x14ac:dyDescent="0.35">
      <c r="E302" s="221"/>
    </row>
    <row r="303" spans="5:5" x14ac:dyDescent="0.35">
      <c r="E303" s="221"/>
    </row>
    <row r="304" spans="5:5" x14ac:dyDescent="0.35">
      <c r="E304" s="221"/>
    </row>
    <row r="305" spans="5:5" x14ac:dyDescent="0.35">
      <c r="E305" s="221"/>
    </row>
    <row r="306" spans="5:5" x14ac:dyDescent="0.35">
      <c r="E306" s="221"/>
    </row>
    <row r="307" spans="5:5" x14ac:dyDescent="0.35">
      <c r="E307" s="221"/>
    </row>
    <row r="308" spans="5:5" x14ac:dyDescent="0.35">
      <c r="E308" s="221"/>
    </row>
    <row r="309" spans="5:5" x14ac:dyDescent="0.35">
      <c r="E309" s="221"/>
    </row>
    <row r="310" spans="5:5" x14ac:dyDescent="0.35">
      <c r="E310" s="221"/>
    </row>
    <row r="311" spans="5:5" x14ac:dyDescent="0.35">
      <c r="E311" s="221"/>
    </row>
    <row r="312" spans="5:5" x14ac:dyDescent="0.35">
      <c r="E312" s="221"/>
    </row>
    <row r="313" spans="5:5" x14ac:dyDescent="0.35">
      <c r="E313" s="221"/>
    </row>
    <row r="314" spans="5:5" x14ac:dyDescent="0.35">
      <c r="E314" s="221"/>
    </row>
    <row r="315" spans="5:5" x14ac:dyDescent="0.35">
      <c r="E315" s="221"/>
    </row>
    <row r="316" spans="5:5" x14ac:dyDescent="0.35">
      <c r="E316" s="221"/>
    </row>
    <row r="317" spans="5:5" x14ac:dyDescent="0.35">
      <c r="E317" s="221"/>
    </row>
    <row r="318" spans="5:5" x14ac:dyDescent="0.35">
      <c r="E318" s="221"/>
    </row>
    <row r="319" spans="5:5" x14ac:dyDescent="0.35">
      <c r="E319" s="221"/>
    </row>
    <row r="320" spans="5:5" x14ac:dyDescent="0.35">
      <c r="E320" s="221"/>
    </row>
    <row r="321" spans="5:5" x14ac:dyDescent="0.35">
      <c r="E321" s="221"/>
    </row>
    <row r="322" spans="5:5" x14ac:dyDescent="0.35">
      <c r="E322" s="221"/>
    </row>
    <row r="323" spans="5:5" x14ac:dyDescent="0.35">
      <c r="E323" s="221"/>
    </row>
    <row r="324" spans="5:5" x14ac:dyDescent="0.35">
      <c r="E324" s="221"/>
    </row>
    <row r="325" spans="5:5" x14ac:dyDescent="0.35">
      <c r="E325" s="221"/>
    </row>
    <row r="326" spans="5:5" x14ac:dyDescent="0.35">
      <c r="E326" s="221"/>
    </row>
    <row r="327" spans="5:5" x14ac:dyDescent="0.35">
      <c r="E327" s="221"/>
    </row>
    <row r="328" spans="5:5" x14ac:dyDescent="0.35">
      <c r="E328" s="221"/>
    </row>
    <row r="329" spans="5:5" x14ac:dyDescent="0.35">
      <c r="E329" s="221"/>
    </row>
    <row r="330" spans="5:5" x14ac:dyDescent="0.35">
      <c r="E330" s="221"/>
    </row>
    <row r="331" spans="5:5" x14ac:dyDescent="0.35">
      <c r="E331" s="221"/>
    </row>
    <row r="332" spans="5:5" x14ac:dyDescent="0.35">
      <c r="E332" s="221"/>
    </row>
    <row r="333" spans="5:5" x14ac:dyDescent="0.35">
      <c r="E333" s="221"/>
    </row>
    <row r="334" spans="5:5" x14ac:dyDescent="0.35">
      <c r="E334" s="221"/>
    </row>
    <row r="335" spans="5:5" x14ac:dyDescent="0.35">
      <c r="E335" s="221"/>
    </row>
    <row r="336" spans="5:5" x14ac:dyDescent="0.35">
      <c r="E336" s="221"/>
    </row>
    <row r="337" spans="5:5" x14ac:dyDescent="0.35">
      <c r="E337" s="221"/>
    </row>
    <row r="338" spans="5:5" x14ac:dyDescent="0.35">
      <c r="E338" s="221"/>
    </row>
    <row r="339" spans="5:5" x14ac:dyDescent="0.35">
      <c r="E339" s="221"/>
    </row>
    <row r="340" spans="5:5" x14ac:dyDescent="0.35">
      <c r="E340" s="221"/>
    </row>
    <row r="341" spans="5:5" x14ac:dyDescent="0.35">
      <c r="E341" s="221"/>
    </row>
    <row r="342" spans="5:5" x14ac:dyDescent="0.35">
      <c r="E342" s="221"/>
    </row>
    <row r="343" spans="5:5" x14ac:dyDescent="0.35">
      <c r="E343" s="221"/>
    </row>
    <row r="344" spans="5:5" x14ac:dyDescent="0.35">
      <c r="E344" s="221"/>
    </row>
    <row r="345" spans="5:5" x14ac:dyDescent="0.35">
      <c r="E345" s="221"/>
    </row>
    <row r="346" spans="5:5" x14ac:dyDescent="0.35">
      <c r="E346" s="221"/>
    </row>
    <row r="347" spans="5:5" x14ac:dyDescent="0.35">
      <c r="E347" s="221"/>
    </row>
    <row r="348" spans="5:5" x14ac:dyDescent="0.35">
      <c r="E348" s="221"/>
    </row>
    <row r="349" spans="5:5" x14ac:dyDescent="0.35">
      <c r="E349" s="221"/>
    </row>
    <row r="350" spans="5:5" x14ac:dyDescent="0.35">
      <c r="E350" s="221"/>
    </row>
    <row r="351" spans="5:5" x14ac:dyDescent="0.35">
      <c r="E351" s="221"/>
    </row>
    <row r="352" spans="5:5" x14ac:dyDescent="0.35">
      <c r="E352" s="221"/>
    </row>
    <row r="353" spans="5:5" x14ac:dyDescent="0.35">
      <c r="E353" s="221"/>
    </row>
    <row r="354" spans="5:5" x14ac:dyDescent="0.35">
      <c r="E354" s="221"/>
    </row>
    <row r="355" spans="5:5" x14ac:dyDescent="0.35">
      <c r="E355" s="221"/>
    </row>
    <row r="356" spans="5:5" x14ac:dyDescent="0.35">
      <c r="E356" s="221"/>
    </row>
    <row r="357" spans="5:5" x14ac:dyDescent="0.35">
      <c r="E357" s="221"/>
    </row>
    <row r="358" spans="5:5" x14ac:dyDescent="0.35">
      <c r="E358" s="221"/>
    </row>
    <row r="359" spans="5:5" x14ac:dyDescent="0.35">
      <c r="E359" s="221"/>
    </row>
    <row r="360" spans="5:5" x14ac:dyDescent="0.35">
      <c r="E360" s="221"/>
    </row>
    <row r="361" spans="5:5" x14ac:dyDescent="0.35">
      <c r="E361" s="221"/>
    </row>
    <row r="362" spans="5:5" x14ac:dyDescent="0.35">
      <c r="E362" s="221"/>
    </row>
    <row r="363" spans="5:5" x14ac:dyDescent="0.35">
      <c r="E363" s="221"/>
    </row>
    <row r="364" spans="5:5" x14ac:dyDescent="0.35">
      <c r="E364" s="221"/>
    </row>
    <row r="365" spans="5:5" x14ac:dyDescent="0.35">
      <c r="E365" s="221"/>
    </row>
    <row r="366" spans="5:5" x14ac:dyDescent="0.35">
      <c r="E366" s="221"/>
    </row>
    <row r="367" spans="5:5" x14ac:dyDescent="0.35">
      <c r="E367" s="221"/>
    </row>
    <row r="368" spans="5:5" x14ac:dyDescent="0.35">
      <c r="E368" s="221"/>
    </row>
    <row r="369" spans="5:5" x14ac:dyDescent="0.35">
      <c r="E369" s="221"/>
    </row>
    <row r="370" spans="5:5" x14ac:dyDescent="0.35">
      <c r="E370" s="221"/>
    </row>
    <row r="371" spans="5:5" x14ac:dyDescent="0.35">
      <c r="E371" s="221"/>
    </row>
    <row r="372" spans="5:5" x14ac:dyDescent="0.35">
      <c r="E372" s="221"/>
    </row>
    <row r="373" spans="5:5" x14ac:dyDescent="0.35">
      <c r="E373" s="221"/>
    </row>
    <row r="374" spans="5:5" x14ac:dyDescent="0.35">
      <c r="E374" s="221"/>
    </row>
    <row r="375" spans="5:5" x14ac:dyDescent="0.35">
      <c r="E375" s="221"/>
    </row>
    <row r="376" spans="5:5" x14ac:dyDescent="0.35">
      <c r="E376" s="221"/>
    </row>
    <row r="377" spans="5:5" x14ac:dyDescent="0.35">
      <c r="E377" s="221"/>
    </row>
    <row r="378" spans="5:5" x14ac:dyDescent="0.35">
      <c r="E378" s="221"/>
    </row>
    <row r="379" spans="5:5" x14ac:dyDescent="0.35">
      <c r="E379" s="221"/>
    </row>
    <row r="380" spans="5:5" x14ac:dyDescent="0.35">
      <c r="E380" s="221"/>
    </row>
    <row r="381" spans="5:5" x14ac:dyDescent="0.35">
      <c r="E381" s="221"/>
    </row>
    <row r="382" spans="5:5" x14ac:dyDescent="0.35">
      <c r="E382" s="221"/>
    </row>
    <row r="383" spans="5:5" x14ac:dyDescent="0.35">
      <c r="E383" s="221"/>
    </row>
    <row r="384" spans="5:5" x14ac:dyDescent="0.35">
      <c r="E384" s="221"/>
    </row>
    <row r="385" spans="5:5" x14ac:dyDescent="0.35">
      <c r="E385" s="221"/>
    </row>
    <row r="386" spans="5:5" x14ac:dyDescent="0.35">
      <c r="E386" s="221"/>
    </row>
    <row r="387" spans="5:5" x14ac:dyDescent="0.35">
      <c r="E387" s="221"/>
    </row>
    <row r="388" spans="5:5" x14ac:dyDescent="0.35">
      <c r="E388" s="221"/>
    </row>
    <row r="389" spans="5:5" x14ac:dyDescent="0.35">
      <c r="E389" s="221"/>
    </row>
    <row r="390" spans="5:5" x14ac:dyDescent="0.35">
      <c r="E390" s="221"/>
    </row>
    <row r="391" spans="5:5" x14ac:dyDescent="0.35">
      <c r="E391" s="221"/>
    </row>
    <row r="392" spans="5:5" x14ac:dyDescent="0.35">
      <c r="E392" s="221"/>
    </row>
    <row r="393" spans="5:5" x14ac:dyDescent="0.35">
      <c r="E393" s="221"/>
    </row>
    <row r="394" spans="5:5" x14ac:dyDescent="0.35">
      <c r="E394" s="221"/>
    </row>
    <row r="395" spans="5:5" x14ac:dyDescent="0.35">
      <c r="E395" s="221"/>
    </row>
    <row r="396" spans="5:5" x14ac:dyDescent="0.35">
      <c r="E396" s="221"/>
    </row>
    <row r="397" spans="5:5" x14ac:dyDescent="0.35">
      <c r="E397" s="221"/>
    </row>
    <row r="398" spans="5:5" x14ac:dyDescent="0.35">
      <c r="E398" s="221"/>
    </row>
    <row r="399" spans="5:5" x14ac:dyDescent="0.35">
      <c r="E399" s="221"/>
    </row>
    <row r="400" spans="5:5" x14ac:dyDescent="0.35">
      <c r="E400" s="221"/>
    </row>
    <row r="401" spans="5:5" x14ac:dyDescent="0.35">
      <c r="E401" s="221"/>
    </row>
    <row r="402" spans="5:5" x14ac:dyDescent="0.35">
      <c r="E402" s="221"/>
    </row>
    <row r="403" spans="5:5" x14ac:dyDescent="0.35">
      <c r="E403" s="221"/>
    </row>
    <row r="404" spans="5:5" x14ac:dyDescent="0.35">
      <c r="E404" s="221"/>
    </row>
    <row r="405" spans="5:5" x14ac:dyDescent="0.35">
      <c r="E405" s="221"/>
    </row>
    <row r="406" spans="5:5" x14ac:dyDescent="0.35">
      <c r="E406" s="221"/>
    </row>
    <row r="407" spans="5:5" x14ac:dyDescent="0.35">
      <c r="E407" s="221"/>
    </row>
    <row r="408" spans="5:5" x14ac:dyDescent="0.35">
      <c r="E408" s="221"/>
    </row>
    <row r="409" spans="5:5" x14ac:dyDescent="0.35">
      <c r="E409" s="221"/>
    </row>
    <row r="410" spans="5:5" x14ac:dyDescent="0.35">
      <c r="E410" s="221"/>
    </row>
    <row r="411" spans="5:5" x14ac:dyDescent="0.35">
      <c r="E411" s="221"/>
    </row>
    <row r="412" spans="5:5" x14ac:dyDescent="0.35">
      <c r="E412" s="221"/>
    </row>
    <row r="413" spans="5:5" x14ac:dyDescent="0.35">
      <c r="E413" s="221"/>
    </row>
    <row r="414" spans="5:5" x14ac:dyDescent="0.35">
      <c r="E414" s="221"/>
    </row>
    <row r="415" spans="5:5" x14ac:dyDescent="0.35">
      <c r="E415" s="221"/>
    </row>
    <row r="416" spans="5:5" x14ac:dyDescent="0.35">
      <c r="E416" s="221"/>
    </row>
    <row r="417" spans="5:5" x14ac:dyDescent="0.35">
      <c r="E417" s="221"/>
    </row>
    <row r="418" spans="5:5" x14ac:dyDescent="0.35">
      <c r="E418" s="221"/>
    </row>
    <row r="419" spans="5:5" x14ac:dyDescent="0.35">
      <c r="E419" s="221"/>
    </row>
    <row r="420" spans="5:5" x14ac:dyDescent="0.35">
      <c r="E420" s="221"/>
    </row>
    <row r="421" spans="5:5" x14ac:dyDescent="0.35">
      <c r="E421" s="221"/>
    </row>
    <row r="422" spans="5:5" x14ac:dyDescent="0.35">
      <c r="E422" s="221"/>
    </row>
    <row r="423" spans="5:5" x14ac:dyDescent="0.35">
      <c r="E423" s="221"/>
    </row>
    <row r="424" spans="5:5" x14ac:dyDescent="0.35">
      <c r="E424" s="221"/>
    </row>
    <row r="425" spans="5:5" x14ac:dyDescent="0.35">
      <c r="E425" s="221"/>
    </row>
    <row r="426" spans="5:5" x14ac:dyDescent="0.35">
      <c r="E426" s="221"/>
    </row>
    <row r="427" spans="5:5" x14ac:dyDescent="0.35">
      <c r="E427" s="221"/>
    </row>
    <row r="428" spans="5:5" x14ac:dyDescent="0.35">
      <c r="E428" s="221"/>
    </row>
    <row r="429" spans="5:5" x14ac:dyDescent="0.35">
      <c r="E429" s="221"/>
    </row>
    <row r="430" spans="5:5" x14ac:dyDescent="0.35">
      <c r="E430" s="221"/>
    </row>
    <row r="431" spans="5:5" x14ac:dyDescent="0.35">
      <c r="E431" s="221"/>
    </row>
    <row r="432" spans="5:5" x14ac:dyDescent="0.35">
      <c r="E432" s="221"/>
    </row>
    <row r="433" spans="5:5" x14ac:dyDescent="0.35">
      <c r="E433" s="221"/>
    </row>
    <row r="434" spans="5:5" x14ac:dyDescent="0.35">
      <c r="E434" s="221"/>
    </row>
    <row r="435" spans="5:5" x14ac:dyDescent="0.35">
      <c r="E435" s="221"/>
    </row>
    <row r="436" spans="5:5" x14ac:dyDescent="0.35">
      <c r="E436" s="221"/>
    </row>
    <row r="437" spans="5:5" x14ac:dyDescent="0.35">
      <c r="E437" s="221"/>
    </row>
    <row r="438" spans="5:5" x14ac:dyDescent="0.35">
      <c r="E438" s="221"/>
    </row>
    <row r="439" spans="5:5" x14ac:dyDescent="0.35">
      <c r="E439" s="221"/>
    </row>
    <row r="440" spans="5:5" x14ac:dyDescent="0.35">
      <c r="E440" s="221"/>
    </row>
    <row r="441" spans="5:5" x14ac:dyDescent="0.35">
      <c r="E441" s="221"/>
    </row>
    <row r="442" spans="5:5" x14ac:dyDescent="0.35">
      <c r="E442" s="221"/>
    </row>
    <row r="443" spans="5:5" x14ac:dyDescent="0.35">
      <c r="E443" s="221"/>
    </row>
    <row r="444" spans="5:5" x14ac:dyDescent="0.35">
      <c r="E444" s="221"/>
    </row>
    <row r="445" spans="5:5" x14ac:dyDescent="0.35">
      <c r="E445" s="221"/>
    </row>
    <row r="446" spans="5:5" x14ac:dyDescent="0.35">
      <c r="E446" s="221"/>
    </row>
    <row r="447" spans="5:5" x14ac:dyDescent="0.35">
      <c r="E447" s="221"/>
    </row>
    <row r="448" spans="5:5" x14ac:dyDescent="0.35">
      <c r="E448" s="221"/>
    </row>
    <row r="449" spans="5:5" x14ac:dyDescent="0.35">
      <c r="E449" s="221"/>
    </row>
    <row r="450" spans="5:5" x14ac:dyDescent="0.35">
      <c r="E450" s="221"/>
    </row>
    <row r="451" spans="5:5" x14ac:dyDescent="0.35">
      <c r="E451" s="221"/>
    </row>
    <row r="452" spans="5:5" x14ac:dyDescent="0.35">
      <c r="E452" s="221"/>
    </row>
    <row r="453" spans="5:5" x14ac:dyDescent="0.35">
      <c r="E453" s="221"/>
    </row>
    <row r="454" spans="5:5" x14ac:dyDescent="0.35">
      <c r="E454" s="221"/>
    </row>
    <row r="455" spans="5:5" x14ac:dyDescent="0.35">
      <c r="E455" s="221"/>
    </row>
    <row r="456" spans="5:5" x14ac:dyDescent="0.35">
      <c r="E456" s="221"/>
    </row>
    <row r="457" spans="5:5" x14ac:dyDescent="0.35">
      <c r="E457" s="221"/>
    </row>
    <row r="458" spans="5:5" x14ac:dyDescent="0.35">
      <c r="E458" s="221"/>
    </row>
    <row r="459" spans="5:5" x14ac:dyDescent="0.35">
      <c r="E459" s="221"/>
    </row>
    <row r="460" spans="5:5" x14ac:dyDescent="0.35">
      <c r="E460" s="221"/>
    </row>
    <row r="461" spans="5:5" x14ac:dyDescent="0.35">
      <c r="E461" s="221"/>
    </row>
    <row r="462" spans="5:5" x14ac:dyDescent="0.35">
      <c r="E462" s="221"/>
    </row>
    <row r="463" spans="5:5" x14ac:dyDescent="0.35">
      <c r="E463" s="221"/>
    </row>
    <row r="464" spans="5:5" x14ac:dyDescent="0.35">
      <c r="E464" s="221"/>
    </row>
    <row r="465" spans="5:5" x14ac:dyDescent="0.35">
      <c r="E465" s="221"/>
    </row>
    <row r="466" spans="5:5" x14ac:dyDescent="0.35">
      <c r="E466" s="221"/>
    </row>
    <row r="467" spans="5:5" x14ac:dyDescent="0.35">
      <c r="E467" s="221"/>
    </row>
    <row r="468" spans="5:5" x14ac:dyDescent="0.35">
      <c r="E468" s="221"/>
    </row>
    <row r="469" spans="5:5" x14ac:dyDescent="0.35">
      <c r="E469" s="221"/>
    </row>
    <row r="470" spans="5:5" x14ac:dyDescent="0.35">
      <c r="E470" s="221"/>
    </row>
    <row r="471" spans="5:5" x14ac:dyDescent="0.35">
      <c r="E471" s="221"/>
    </row>
    <row r="472" spans="5:5" x14ac:dyDescent="0.35">
      <c r="E472" s="221"/>
    </row>
    <row r="473" spans="5:5" x14ac:dyDescent="0.35">
      <c r="E473" s="221"/>
    </row>
    <row r="474" spans="5:5" x14ac:dyDescent="0.35">
      <c r="E474" s="221"/>
    </row>
    <row r="475" spans="5:5" x14ac:dyDescent="0.35">
      <c r="E475" s="221"/>
    </row>
    <row r="476" spans="5:5" x14ac:dyDescent="0.35">
      <c r="E476" s="221"/>
    </row>
    <row r="477" spans="5:5" x14ac:dyDescent="0.35">
      <c r="E477" s="221"/>
    </row>
    <row r="478" spans="5:5" x14ac:dyDescent="0.35">
      <c r="E478" s="221"/>
    </row>
    <row r="479" spans="5:5" x14ac:dyDescent="0.35">
      <c r="E479" s="221"/>
    </row>
    <row r="480" spans="5:5" x14ac:dyDescent="0.35">
      <c r="E480" s="221"/>
    </row>
    <row r="481" spans="5:5" x14ac:dyDescent="0.35">
      <c r="E481" s="221"/>
    </row>
    <row r="482" spans="5:5" x14ac:dyDescent="0.35">
      <c r="E482" s="221"/>
    </row>
    <row r="483" spans="5:5" x14ac:dyDescent="0.35">
      <c r="E483" s="221"/>
    </row>
    <row r="484" spans="5:5" x14ac:dyDescent="0.35">
      <c r="E484" s="221"/>
    </row>
    <row r="485" spans="5:5" x14ac:dyDescent="0.35">
      <c r="E485" s="221"/>
    </row>
    <row r="486" spans="5:5" x14ac:dyDescent="0.35">
      <c r="E486" s="221"/>
    </row>
    <row r="487" spans="5:5" x14ac:dyDescent="0.35">
      <c r="E487" s="221"/>
    </row>
    <row r="488" spans="5:5" x14ac:dyDescent="0.35">
      <c r="E488" s="221"/>
    </row>
    <row r="489" spans="5:5" x14ac:dyDescent="0.35">
      <c r="E489" s="221"/>
    </row>
    <row r="490" spans="5:5" x14ac:dyDescent="0.35">
      <c r="E490" s="221"/>
    </row>
    <row r="491" spans="5:5" x14ac:dyDescent="0.35">
      <c r="E491" s="221"/>
    </row>
    <row r="492" spans="5:5" x14ac:dyDescent="0.35">
      <c r="E492" s="221"/>
    </row>
    <row r="493" spans="5:5" x14ac:dyDescent="0.35">
      <c r="E493" s="221"/>
    </row>
    <row r="494" spans="5:5" x14ac:dyDescent="0.35">
      <c r="E494" s="221"/>
    </row>
    <row r="495" spans="5:5" x14ac:dyDescent="0.35">
      <c r="E495" s="221"/>
    </row>
    <row r="496" spans="5:5" x14ac:dyDescent="0.35">
      <c r="E496" s="221"/>
    </row>
    <row r="497" spans="5:5" x14ac:dyDescent="0.35">
      <c r="E497" s="221"/>
    </row>
    <row r="498" spans="5:5" x14ac:dyDescent="0.35">
      <c r="E498" s="221"/>
    </row>
    <row r="499" spans="5:5" x14ac:dyDescent="0.35">
      <c r="E499" s="221"/>
    </row>
    <row r="500" spans="5:5" x14ac:dyDescent="0.35">
      <c r="E500" s="221"/>
    </row>
    <row r="501" spans="5:5" x14ac:dyDescent="0.35">
      <c r="E501" s="221"/>
    </row>
    <row r="502" spans="5:5" x14ac:dyDescent="0.35">
      <c r="E502" s="221"/>
    </row>
    <row r="503" spans="5:5" x14ac:dyDescent="0.35">
      <c r="E503" s="221"/>
    </row>
    <row r="504" spans="5:5" x14ac:dyDescent="0.35">
      <c r="E504" s="221"/>
    </row>
    <row r="505" spans="5:5" x14ac:dyDescent="0.35">
      <c r="E505" s="221"/>
    </row>
    <row r="506" spans="5:5" x14ac:dyDescent="0.35">
      <c r="E506" s="221"/>
    </row>
    <row r="507" spans="5:5" x14ac:dyDescent="0.35">
      <c r="E507" s="221"/>
    </row>
    <row r="508" spans="5:5" x14ac:dyDescent="0.35">
      <c r="E508" s="221"/>
    </row>
    <row r="509" spans="5:5" x14ac:dyDescent="0.35">
      <c r="E509" s="221"/>
    </row>
    <row r="510" spans="5:5" x14ac:dyDescent="0.35">
      <c r="E510" s="221"/>
    </row>
    <row r="511" spans="5:5" x14ac:dyDescent="0.35">
      <c r="E511" s="221"/>
    </row>
    <row r="512" spans="5:5" x14ac:dyDescent="0.35">
      <c r="E512" s="221"/>
    </row>
    <row r="513" spans="5:5" x14ac:dyDescent="0.35">
      <c r="E513" s="221"/>
    </row>
    <row r="514" spans="5:5" x14ac:dyDescent="0.35">
      <c r="E514" s="221"/>
    </row>
    <row r="515" spans="5:5" x14ac:dyDescent="0.35">
      <c r="E515" s="221"/>
    </row>
    <row r="516" spans="5:5" x14ac:dyDescent="0.35">
      <c r="E516" s="221"/>
    </row>
    <row r="517" spans="5:5" x14ac:dyDescent="0.35">
      <c r="E517" s="221"/>
    </row>
    <row r="518" spans="5:5" x14ac:dyDescent="0.35">
      <c r="E518" s="221"/>
    </row>
    <row r="519" spans="5:5" x14ac:dyDescent="0.35">
      <c r="E519" s="221"/>
    </row>
    <row r="520" spans="5:5" x14ac:dyDescent="0.35">
      <c r="E520" s="221"/>
    </row>
    <row r="521" spans="5:5" x14ac:dyDescent="0.35">
      <c r="E521" s="221"/>
    </row>
    <row r="522" spans="5:5" x14ac:dyDescent="0.35">
      <c r="E522" s="221"/>
    </row>
    <row r="523" spans="5:5" x14ac:dyDescent="0.35">
      <c r="E523" s="221"/>
    </row>
    <row r="524" spans="5:5" x14ac:dyDescent="0.35">
      <c r="E524" s="221"/>
    </row>
    <row r="525" spans="5:5" x14ac:dyDescent="0.35">
      <c r="E525" s="221"/>
    </row>
    <row r="526" spans="5:5" x14ac:dyDescent="0.35">
      <c r="E526" s="221"/>
    </row>
    <row r="527" spans="5:5" x14ac:dyDescent="0.35">
      <c r="E527" s="221"/>
    </row>
    <row r="528" spans="5:5" x14ac:dyDescent="0.35">
      <c r="E528" s="221"/>
    </row>
    <row r="529" spans="5:5" x14ac:dyDescent="0.35">
      <c r="E529" s="221"/>
    </row>
    <row r="530" spans="5:5" x14ac:dyDescent="0.35">
      <c r="E530" s="221"/>
    </row>
    <row r="531" spans="5:5" x14ac:dyDescent="0.35">
      <c r="E531" s="221"/>
    </row>
    <row r="532" spans="5:5" x14ac:dyDescent="0.35">
      <c r="E532" s="221"/>
    </row>
    <row r="533" spans="5:5" x14ac:dyDescent="0.35">
      <c r="E533" s="221"/>
    </row>
    <row r="534" spans="5:5" x14ac:dyDescent="0.35">
      <c r="E534" s="221"/>
    </row>
    <row r="535" spans="5:5" x14ac:dyDescent="0.35">
      <c r="E535" s="221"/>
    </row>
    <row r="536" spans="5:5" x14ac:dyDescent="0.35">
      <c r="E536" s="221"/>
    </row>
    <row r="537" spans="5:5" x14ac:dyDescent="0.35">
      <c r="E537" s="221"/>
    </row>
    <row r="538" spans="5:5" x14ac:dyDescent="0.35">
      <c r="E538" s="221"/>
    </row>
    <row r="539" spans="5:5" x14ac:dyDescent="0.35">
      <c r="E539" s="221"/>
    </row>
    <row r="540" spans="5:5" x14ac:dyDescent="0.35">
      <c r="E540" s="221"/>
    </row>
    <row r="541" spans="5:5" x14ac:dyDescent="0.35">
      <c r="E541" s="221"/>
    </row>
    <row r="542" spans="5:5" x14ac:dyDescent="0.35">
      <c r="E542" s="221"/>
    </row>
    <row r="543" spans="5:5" x14ac:dyDescent="0.35">
      <c r="E543" s="221"/>
    </row>
    <row r="544" spans="5:5" x14ac:dyDescent="0.35">
      <c r="E544" s="221"/>
    </row>
    <row r="545" spans="5:5" x14ac:dyDescent="0.35">
      <c r="E545" s="221"/>
    </row>
    <row r="546" spans="5:5" x14ac:dyDescent="0.35">
      <c r="E546" s="221"/>
    </row>
    <row r="547" spans="5:5" x14ac:dyDescent="0.35">
      <c r="E547" s="221"/>
    </row>
    <row r="548" spans="5:5" x14ac:dyDescent="0.35">
      <c r="E548" s="221"/>
    </row>
    <row r="549" spans="5:5" x14ac:dyDescent="0.35">
      <c r="E549" s="221"/>
    </row>
    <row r="550" spans="5:5" x14ac:dyDescent="0.35">
      <c r="E550" s="221"/>
    </row>
    <row r="551" spans="5:5" x14ac:dyDescent="0.35">
      <c r="E551" s="221"/>
    </row>
    <row r="552" spans="5:5" x14ac:dyDescent="0.35">
      <c r="E552" s="221"/>
    </row>
    <row r="553" spans="5:5" x14ac:dyDescent="0.35">
      <c r="E553" s="221"/>
    </row>
    <row r="554" spans="5:5" x14ac:dyDescent="0.35">
      <c r="E554" s="221"/>
    </row>
    <row r="555" spans="5:5" x14ac:dyDescent="0.35">
      <c r="E555" s="221"/>
    </row>
    <row r="556" spans="5:5" x14ac:dyDescent="0.35">
      <c r="E556" s="221"/>
    </row>
    <row r="557" spans="5:5" x14ac:dyDescent="0.35">
      <c r="E557" s="221"/>
    </row>
    <row r="558" spans="5:5" x14ac:dyDescent="0.35">
      <c r="E558" s="221"/>
    </row>
    <row r="559" spans="5:5" x14ac:dyDescent="0.35">
      <c r="E559" s="221"/>
    </row>
    <row r="560" spans="5:5" x14ac:dyDescent="0.35">
      <c r="E560" s="221"/>
    </row>
    <row r="561" spans="5:5" x14ac:dyDescent="0.35">
      <c r="E561" s="221"/>
    </row>
    <row r="562" spans="5:5" x14ac:dyDescent="0.35">
      <c r="E562" s="221"/>
    </row>
    <row r="563" spans="5:5" x14ac:dyDescent="0.35">
      <c r="E563" s="221"/>
    </row>
    <row r="564" spans="5:5" x14ac:dyDescent="0.35">
      <c r="E564" s="221"/>
    </row>
    <row r="565" spans="5:5" x14ac:dyDescent="0.35">
      <c r="E565" s="221"/>
    </row>
    <row r="566" spans="5:5" x14ac:dyDescent="0.35">
      <c r="E566" s="221"/>
    </row>
    <row r="567" spans="5:5" x14ac:dyDescent="0.35">
      <c r="E567" s="221"/>
    </row>
    <row r="568" spans="5:5" x14ac:dyDescent="0.35">
      <c r="E568" s="221"/>
    </row>
    <row r="569" spans="5:5" x14ac:dyDescent="0.35">
      <c r="E569" s="221"/>
    </row>
    <row r="570" spans="5:5" x14ac:dyDescent="0.35">
      <c r="E570" s="221"/>
    </row>
    <row r="571" spans="5:5" x14ac:dyDescent="0.35">
      <c r="E571" s="221"/>
    </row>
    <row r="572" spans="5:5" x14ac:dyDescent="0.35">
      <c r="E572" s="221"/>
    </row>
    <row r="573" spans="5:5" x14ac:dyDescent="0.35">
      <c r="E573" s="221"/>
    </row>
    <row r="574" spans="5:5" x14ac:dyDescent="0.35">
      <c r="E574" s="221"/>
    </row>
    <row r="575" spans="5:5" x14ac:dyDescent="0.35">
      <c r="E575" s="221"/>
    </row>
    <row r="576" spans="5:5" x14ac:dyDescent="0.35">
      <c r="E576" s="221"/>
    </row>
    <row r="577" spans="5:5" x14ac:dyDescent="0.35">
      <c r="E577" s="221"/>
    </row>
    <row r="578" spans="5:5" x14ac:dyDescent="0.35">
      <c r="E578" s="221"/>
    </row>
    <row r="579" spans="5:5" x14ac:dyDescent="0.35">
      <c r="E579" s="221"/>
    </row>
    <row r="580" spans="5:5" x14ac:dyDescent="0.35">
      <c r="E580" s="221"/>
    </row>
    <row r="581" spans="5:5" x14ac:dyDescent="0.35">
      <c r="E581" s="221"/>
    </row>
    <row r="582" spans="5:5" x14ac:dyDescent="0.35">
      <c r="E582" s="221"/>
    </row>
    <row r="583" spans="5:5" x14ac:dyDescent="0.35">
      <c r="E583" s="221"/>
    </row>
    <row r="584" spans="5:5" x14ac:dyDescent="0.35">
      <c r="E584" s="221"/>
    </row>
    <row r="585" spans="5:5" x14ac:dyDescent="0.35">
      <c r="E585" s="221"/>
    </row>
    <row r="586" spans="5:5" x14ac:dyDescent="0.35">
      <c r="E586" s="221"/>
    </row>
    <row r="587" spans="5:5" x14ac:dyDescent="0.35">
      <c r="E587" s="221"/>
    </row>
    <row r="588" spans="5:5" x14ac:dyDescent="0.35">
      <c r="E588" s="221"/>
    </row>
    <row r="589" spans="5:5" x14ac:dyDescent="0.35">
      <c r="E589" s="221"/>
    </row>
    <row r="590" spans="5:5" x14ac:dyDescent="0.35">
      <c r="E590" s="221"/>
    </row>
    <row r="591" spans="5:5" x14ac:dyDescent="0.35">
      <c r="E591" s="221"/>
    </row>
    <row r="592" spans="5:5" x14ac:dyDescent="0.35">
      <c r="E592" s="221"/>
    </row>
    <row r="593" spans="5:5" x14ac:dyDescent="0.35">
      <c r="E593" s="221"/>
    </row>
    <row r="594" spans="5:5" x14ac:dyDescent="0.35">
      <c r="E594" s="221"/>
    </row>
    <row r="595" spans="5:5" x14ac:dyDescent="0.35">
      <c r="E595" s="221"/>
    </row>
    <row r="596" spans="5:5" x14ac:dyDescent="0.35">
      <c r="E596" s="221"/>
    </row>
    <row r="597" spans="5:5" x14ac:dyDescent="0.35">
      <c r="E597" s="221"/>
    </row>
    <row r="598" spans="5:5" x14ac:dyDescent="0.35">
      <c r="E598" s="221"/>
    </row>
    <row r="599" spans="5:5" x14ac:dyDescent="0.35">
      <c r="E599" s="221"/>
    </row>
    <row r="600" spans="5:5" x14ac:dyDescent="0.35">
      <c r="E600" s="221"/>
    </row>
    <row r="601" spans="5:5" x14ac:dyDescent="0.35">
      <c r="E601" s="221"/>
    </row>
    <row r="602" spans="5:5" x14ac:dyDescent="0.35">
      <c r="E602" s="221"/>
    </row>
    <row r="603" spans="5:5" x14ac:dyDescent="0.35">
      <c r="E603" s="221"/>
    </row>
    <row r="604" spans="5:5" x14ac:dyDescent="0.35">
      <c r="E604" s="221"/>
    </row>
    <row r="605" spans="5:5" x14ac:dyDescent="0.35">
      <c r="E605" s="221"/>
    </row>
    <row r="606" spans="5:5" x14ac:dyDescent="0.35">
      <c r="E606" s="221"/>
    </row>
    <row r="607" spans="5:5" x14ac:dyDescent="0.35">
      <c r="E607" s="221"/>
    </row>
    <row r="608" spans="5:5" x14ac:dyDescent="0.35">
      <c r="E608" s="221"/>
    </row>
    <row r="609" spans="5:5" x14ac:dyDescent="0.35">
      <c r="E609" s="221"/>
    </row>
    <row r="610" spans="5:5" x14ac:dyDescent="0.35">
      <c r="E610" s="221"/>
    </row>
    <row r="611" spans="5:5" x14ac:dyDescent="0.35">
      <c r="E611" s="221"/>
    </row>
    <row r="612" spans="5:5" x14ac:dyDescent="0.35">
      <c r="E612" s="221"/>
    </row>
    <row r="613" spans="5:5" x14ac:dyDescent="0.35">
      <c r="E613" s="221"/>
    </row>
    <row r="614" spans="5:5" x14ac:dyDescent="0.35">
      <c r="E614" s="221"/>
    </row>
    <row r="615" spans="5:5" x14ac:dyDescent="0.35">
      <c r="E615" s="221"/>
    </row>
    <row r="616" spans="5:5" x14ac:dyDescent="0.35">
      <c r="E616" s="221"/>
    </row>
    <row r="617" spans="5:5" x14ac:dyDescent="0.35">
      <c r="E617" s="221"/>
    </row>
    <row r="618" spans="5:5" x14ac:dyDescent="0.35">
      <c r="E618" s="221"/>
    </row>
    <row r="619" spans="5:5" x14ac:dyDescent="0.35">
      <c r="E619" s="221"/>
    </row>
    <row r="620" spans="5:5" x14ac:dyDescent="0.35">
      <c r="E620" s="221"/>
    </row>
    <row r="621" spans="5:5" x14ac:dyDescent="0.35">
      <c r="E621" s="221"/>
    </row>
    <row r="622" spans="5:5" x14ac:dyDescent="0.35">
      <c r="E622" s="221"/>
    </row>
    <row r="623" spans="5:5" x14ac:dyDescent="0.35">
      <c r="E623" s="221"/>
    </row>
    <row r="624" spans="5:5" x14ac:dyDescent="0.35">
      <c r="E624" s="221"/>
    </row>
    <row r="625" spans="5:5" x14ac:dyDescent="0.35">
      <c r="E625" s="221"/>
    </row>
    <row r="626" spans="5:5" x14ac:dyDescent="0.35">
      <c r="E626" s="221"/>
    </row>
    <row r="627" spans="5:5" x14ac:dyDescent="0.35">
      <c r="E627" s="221"/>
    </row>
    <row r="628" spans="5:5" x14ac:dyDescent="0.35">
      <c r="E628" s="221"/>
    </row>
    <row r="629" spans="5:5" x14ac:dyDescent="0.35">
      <c r="E629" s="221"/>
    </row>
    <row r="630" spans="5:5" x14ac:dyDescent="0.35">
      <c r="E630" s="221"/>
    </row>
    <row r="631" spans="5:5" x14ac:dyDescent="0.35">
      <c r="E631" s="221"/>
    </row>
    <row r="632" spans="5:5" x14ac:dyDescent="0.35">
      <c r="E632" s="221"/>
    </row>
    <row r="633" spans="5:5" x14ac:dyDescent="0.35">
      <c r="E633" s="221"/>
    </row>
    <row r="634" spans="5:5" x14ac:dyDescent="0.35">
      <c r="E634" s="221"/>
    </row>
    <row r="635" spans="5:5" x14ac:dyDescent="0.35">
      <c r="E635" s="221"/>
    </row>
    <row r="636" spans="5:5" x14ac:dyDescent="0.35">
      <c r="E636" s="221"/>
    </row>
    <row r="637" spans="5:5" x14ac:dyDescent="0.35">
      <c r="E637" s="221"/>
    </row>
    <row r="638" spans="5:5" x14ac:dyDescent="0.35">
      <c r="E638" s="221"/>
    </row>
    <row r="639" spans="5:5" x14ac:dyDescent="0.35">
      <c r="E639" s="221"/>
    </row>
    <row r="640" spans="5:5" x14ac:dyDescent="0.35">
      <c r="E640" s="221"/>
    </row>
    <row r="641" spans="5:5" x14ac:dyDescent="0.35">
      <c r="E641" s="221"/>
    </row>
    <row r="642" spans="5:5" x14ac:dyDescent="0.35">
      <c r="E642" s="221"/>
    </row>
    <row r="643" spans="5:5" x14ac:dyDescent="0.35">
      <c r="E643" s="221"/>
    </row>
    <row r="644" spans="5:5" x14ac:dyDescent="0.35">
      <c r="E644" s="221"/>
    </row>
    <row r="645" spans="5:5" x14ac:dyDescent="0.35">
      <c r="E645" s="221"/>
    </row>
    <row r="646" spans="5:5" x14ac:dyDescent="0.35">
      <c r="E646" s="221"/>
    </row>
    <row r="647" spans="5:5" x14ac:dyDescent="0.35">
      <c r="E647" s="221"/>
    </row>
    <row r="648" spans="5:5" x14ac:dyDescent="0.35">
      <c r="E648" s="221"/>
    </row>
    <row r="649" spans="5:5" x14ac:dyDescent="0.35">
      <c r="E649" s="221"/>
    </row>
    <row r="650" spans="5:5" x14ac:dyDescent="0.35">
      <c r="E650" s="221"/>
    </row>
    <row r="651" spans="5:5" x14ac:dyDescent="0.35">
      <c r="E651" s="221"/>
    </row>
    <row r="652" spans="5:5" x14ac:dyDescent="0.35">
      <c r="E652" s="221"/>
    </row>
    <row r="653" spans="5:5" x14ac:dyDescent="0.35">
      <c r="E653" s="221"/>
    </row>
    <row r="654" spans="5:5" x14ac:dyDescent="0.35">
      <c r="E654" s="221"/>
    </row>
    <row r="655" spans="5:5" x14ac:dyDescent="0.35">
      <c r="E655" s="221"/>
    </row>
    <row r="656" spans="5:5" x14ac:dyDescent="0.35">
      <c r="E656" s="221"/>
    </row>
    <row r="657" spans="5:5" x14ac:dyDescent="0.35">
      <c r="E657" s="221"/>
    </row>
    <row r="658" spans="5:5" x14ac:dyDescent="0.35">
      <c r="E658" s="221"/>
    </row>
    <row r="659" spans="5:5" x14ac:dyDescent="0.35">
      <c r="E659" s="221"/>
    </row>
    <row r="660" spans="5:5" x14ac:dyDescent="0.35">
      <c r="E660" s="221"/>
    </row>
    <row r="661" spans="5:5" x14ac:dyDescent="0.35">
      <c r="E661" s="221"/>
    </row>
    <row r="662" spans="5:5" x14ac:dyDescent="0.35">
      <c r="E662" s="221"/>
    </row>
    <row r="663" spans="5:5" x14ac:dyDescent="0.35">
      <c r="E663" s="221"/>
    </row>
    <row r="664" spans="5:5" x14ac:dyDescent="0.35">
      <c r="E664" s="221"/>
    </row>
    <row r="665" spans="5:5" x14ac:dyDescent="0.35">
      <c r="E665" s="221"/>
    </row>
    <row r="666" spans="5:5" x14ac:dyDescent="0.35">
      <c r="E666" s="221"/>
    </row>
    <row r="667" spans="5:5" x14ac:dyDescent="0.35">
      <c r="E667" s="221"/>
    </row>
    <row r="668" spans="5:5" x14ac:dyDescent="0.35">
      <c r="E668" s="221"/>
    </row>
    <row r="669" spans="5:5" x14ac:dyDescent="0.35">
      <c r="E669" s="221"/>
    </row>
    <row r="670" spans="5:5" x14ac:dyDescent="0.35">
      <c r="E670" s="221"/>
    </row>
    <row r="671" spans="5:5" x14ac:dyDescent="0.35">
      <c r="E671" s="221"/>
    </row>
    <row r="672" spans="5:5" x14ac:dyDescent="0.35">
      <c r="E672" s="221"/>
    </row>
    <row r="673" spans="5:5" x14ac:dyDescent="0.35">
      <c r="E673" s="221"/>
    </row>
    <row r="674" spans="5:5" x14ac:dyDescent="0.35">
      <c r="E674" s="221"/>
    </row>
    <row r="675" spans="5:5" x14ac:dyDescent="0.35">
      <c r="E675" s="221"/>
    </row>
    <row r="676" spans="5:5" x14ac:dyDescent="0.35">
      <c r="E676" s="221"/>
    </row>
    <row r="677" spans="5:5" x14ac:dyDescent="0.35">
      <c r="E677" s="221"/>
    </row>
    <row r="678" spans="5:5" x14ac:dyDescent="0.35">
      <c r="E678" s="221"/>
    </row>
    <row r="679" spans="5:5" x14ac:dyDescent="0.35">
      <c r="E679" s="221"/>
    </row>
    <row r="680" spans="5:5" x14ac:dyDescent="0.35">
      <c r="E680" s="221"/>
    </row>
    <row r="681" spans="5:5" x14ac:dyDescent="0.35">
      <c r="E681" s="221"/>
    </row>
    <row r="682" spans="5:5" x14ac:dyDescent="0.35">
      <c r="E682" s="221"/>
    </row>
    <row r="683" spans="5:5" x14ac:dyDescent="0.35">
      <c r="E683" s="221"/>
    </row>
  </sheetData>
  <mergeCells count="11">
    <mergeCell ref="F7:G7"/>
    <mergeCell ref="I7:J7"/>
    <mergeCell ref="L7:M7"/>
    <mergeCell ref="O7:O8"/>
    <mergeCell ref="B2:D2"/>
    <mergeCell ref="B3:D3"/>
    <mergeCell ref="B4:D4"/>
    <mergeCell ref="B5:D5"/>
    <mergeCell ref="B7:B8"/>
    <mergeCell ref="C7:C8"/>
    <mergeCell ref="D7:D8"/>
  </mergeCells>
  <pageMargins left="0.7" right="0.7" top="0.75" bottom="0.75" header="0.3" footer="0.3"/>
  <pageSetup paperSize="9" scale="76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9913-63BC-4508-8E8B-346A5999F369}">
  <dimension ref="A1:N49"/>
  <sheetViews>
    <sheetView topLeftCell="C1" workbookViewId="0">
      <selection activeCell="Q19" sqref="Q19"/>
    </sheetView>
  </sheetViews>
  <sheetFormatPr defaultRowHeight="14.5" x14ac:dyDescent="0.35"/>
  <cols>
    <col min="2" max="2" width="36.54296875" customWidth="1"/>
    <col min="3" max="3" width="3.81640625" customWidth="1"/>
    <col min="4" max="4" width="4.81640625" customWidth="1"/>
    <col min="5" max="5" width="0.1796875" hidden="1" customWidth="1"/>
    <col min="6" max="6" width="17.1796875" hidden="1" customWidth="1"/>
    <col min="7" max="7" width="9.1796875" hidden="1" customWidth="1"/>
    <col min="8" max="8" width="0.1796875" hidden="1" customWidth="1"/>
    <col min="10" max="10" width="9.1796875" hidden="1" customWidth="1"/>
    <col min="11" max="11" width="11" bestFit="1" customWidth="1"/>
    <col min="14" max="14" width="0.1796875" customWidth="1"/>
  </cols>
  <sheetData>
    <row r="1" spans="1:14" x14ac:dyDescent="0.35">
      <c r="A1" s="28">
        <v>2</v>
      </c>
      <c r="B1" s="35" t="s">
        <v>45</v>
      </c>
      <c r="C1" s="36" t="s">
        <v>22</v>
      </c>
      <c r="D1" s="36" t="s">
        <v>54</v>
      </c>
      <c r="E1" s="37"/>
      <c r="F1" s="36"/>
      <c r="G1" s="36"/>
      <c r="H1" s="36"/>
      <c r="I1" s="36"/>
      <c r="J1" s="36"/>
      <c r="K1" s="37">
        <f>2400-(E1+G1+I1)</f>
        <v>2400</v>
      </c>
      <c r="L1" s="36" t="s">
        <v>253</v>
      </c>
      <c r="M1" s="36"/>
      <c r="N1" s="112"/>
    </row>
    <row r="2" spans="1:14" x14ac:dyDescent="0.35">
      <c r="A2" s="29">
        <v>3</v>
      </c>
      <c r="B2" s="35" t="s">
        <v>49</v>
      </c>
      <c r="C2" s="36" t="s">
        <v>22</v>
      </c>
      <c r="D2" s="36" t="s">
        <v>21</v>
      </c>
      <c r="E2" s="37"/>
      <c r="F2" s="36"/>
      <c r="G2" s="36"/>
      <c r="H2" s="36"/>
      <c r="I2" s="36"/>
      <c r="J2" s="36"/>
      <c r="K2" s="37">
        <f>2400-(E2+G2+I2)</f>
        <v>2400</v>
      </c>
      <c r="L2" s="36" t="s">
        <v>253</v>
      </c>
      <c r="M2" s="36"/>
      <c r="N2" s="112"/>
    </row>
    <row r="3" spans="1:14" x14ac:dyDescent="0.35">
      <c r="A3" s="29"/>
      <c r="B3" s="35"/>
      <c r="C3" s="36"/>
      <c r="D3" s="36"/>
      <c r="E3" s="37"/>
      <c r="F3" s="36"/>
      <c r="G3" s="36"/>
      <c r="H3" s="36"/>
      <c r="I3" s="36"/>
      <c r="J3" s="36"/>
      <c r="K3" s="141">
        <f>SUM(K1:K2)</f>
        <v>4800</v>
      </c>
      <c r="L3" s="36"/>
      <c r="M3" s="36"/>
      <c r="N3" s="112"/>
    </row>
    <row r="4" spans="1:14" x14ac:dyDescent="0.35">
      <c r="A4" s="29"/>
      <c r="B4" s="142" t="s">
        <v>254</v>
      </c>
      <c r="C4" s="36"/>
      <c r="D4" s="36"/>
      <c r="E4" s="37"/>
      <c r="F4" s="36"/>
      <c r="G4" s="36"/>
      <c r="H4" s="36"/>
      <c r="I4" s="36"/>
      <c r="J4" s="36"/>
      <c r="K4" s="37"/>
      <c r="L4" s="36"/>
      <c r="M4" s="36"/>
      <c r="N4" s="112"/>
    </row>
    <row r="5" spans="1:14" x14ac:dyDescent="0.35">
      <c r="A5" s="28">
        <v>1</v>
      </c>
      <c r="B5" s="35" t="s">
        <v>74</v>
      </c>
      <c r="C5" s="36" t="s">
        <v>22</v>
      </c>
      <c r="D5" s="36" t="s">
        <v>54</v>
      </c>
      <c r="E5" s="37"/>
      <c r="F5" s="36"/>
      <c r="G5" s="36"/>
      <c r="H5" s="36"/>
      <c r="I5" s="36"/>
      <c r="J5" s="36"/>
      <c r="K5" s="37">
        <f>2400-(E5+G5+I5)</f>
        <v>2400</v>
      </c>
      <c r="L5" s="36" t="s">
        <v>254</v>
      </c>
      <c r="M5" s="36"/>
      <c r="N5" s="112"/>
    </row>
    <row r="6" spans="1:14" x14ac:dyDescent="0.35">
      <c r="A6" s="28">
        <v>2</v>
      </c>
      <c r="B6" s="35" t="s">
        <v>75</v>
      </c>
      <c r="C6" s="36" t="s">
        <v>22</v>
      </c>
      <c r="D6" s="36" t="s">
        <v>54</v>
      </c>
      <c r="E6" s="37"/>
      <c r="F6" s="36"/>
      <c r="G6" s="36"/>
      <c r="H6" s="36"/>
      <c r="I6" s="36"/>
      <c r="J6" s="36"/>
      <c r="K6" s="37">
        <f>2400-(E6+G6+I6)</f>
        <v>2400</v>
      </c>
      <c r="L6" s="36" t="s">
        <v>254</v>
      </c>
      <c r="M6" s="36"/>
      <c r="N6" s="112"/>
    </row>
    <row r="7" spans="1:14" x14ac:dyDescent="0.35">
      <c r="A7" s="28"/>
      <c r="B7" s="41"/>
      <c r="C7" s="41"/>
      <c r="D7" s="36"/>
      <c r="E7" s="37"/>
      <c r="F7" s="36"/>
      <c r="G7" s="36"/>
      <c r="H7" s="36"/>
      <c r="I7" s="36"/>
      <c r="J7" s="36"/>
      <c r="K7" s="37"/>
      <c r="L7" s="36"/>
      <c r="M7" s="41"/>
      <c r="N7" s="118"/>
    </row>
    <row r="8" spans="1:14" x14ac:dyDescent="0.35">
      <c r="A8" s="28"/>
      <c r="B8" s="41"/>
      <c r="C8" s="41"/>
      <c r="D8" s="36"/>
      <c r="E8" s="37"/>
      <c r="F8" s="36"/>
      <c r="G8" s="36"/>
      <c r="H8" s="36"/>
      <c r="I8" s="36"/>
      <c r="J8" s="36"/>
      <c r="K8" s="135">
        <f>SUM(K5:K7)</f>
        <v>4800</v>
      </c>
      <c r="L8" s="36"/>
      <c r="M8" s="41"/>
      <c r="N8" s="118"/>
    </row>
    <row r="9" spans="1:14" ht="15" thickBot="1" x14ac:dyDescent="0.4">
      <c r="A9" s="28"/>
      <c r="B9" s="144" t="s">
        <v>25</v>
      </c>
      <c r="C9" s="41"/>
      <c r="D9" s="36"/>
      <c r="E9" s="37"/>
      <c r="F9" s="36"/>
      <c r="G9" s="36"/>
      <c r="H9" s="36"/>
      <c r="I9" s="36"/>
      <c r="J9" s="36"/>
      <c r="K9" s="37"/>
      <c r="L9" s="36"/>
      <c r="M9" s="41"/>
      <c r="N9" s="118"/>
    </row>
    <row r="10" spans="1:14" ht="15" thickBot="1" x14ac:dyDescent="0.4">
      <c r="A10" s="28">
        <v>1</v>
      </c>
      <c r="B10" s="43" t="s">
        <v>104</v>
      </c>
      <c r="C10" s="43" t="s">
        <v>22</v>
      </c>
      <c r="D10" s="43" t="s">
        <v>54</v>
      </c>
      <c r="E10" s="44"/>
      <c r="F10" s="45"/>
      <c r="G10" s="45"/>
      <c r="H10" s="45"/>
      <c r="I10" s="45"/>
      <c r="J10" s="137"/>
      <c r="K10" s="134">
        <f t="shared" ref="K10:K11" si="0">2400-(E10+G10+I10)</f>
        <v>2400</v>
      </c>
      <c r="L10" s="139" t="s">
        <v>255</v>
      </c>
      <c r="M10" s="43"/>
      <c r="N10" s="123"/>
    </row>
    <row r="11" spans="1:14" x14ac:dyDescent="0.35">
      <c r="A11" s="29">
        <v>2</v>
      </c>
      <c r="B11" s="43" t="s">
        <v>107</v>
      </c>
      <c r="C11" s="43" t="s">
        <v>22</v>
      </c>
      <c r="D11" s="43" t="s">
        <v>54</v>
      </c>
      <c r="E11" s="44"/>
      <c r="F11" s="45"/>
      <c r="G11" s="45"/>
      <c r="H11" s="45"/>
      <c r="I11" s="45"/>
      <c r="J11" s="45"/>
      <c r="K11" s="59">
        <f t="shared" si="0"/>
        <v>2400</v>
      </c>
      <c r="L11" s="43" t="s">
        <v>255</v>
      </c>
      <c r="M11" s="43"/>
      <c r="N11" s="123"/>
    </row>
    <row r="12" spans="1:14" x14ac:dyDescent="0.35">
      <c r="A12" s="28">
        <v>3</v>
      </c>
      <c r="B12" s="43" t="s">
        <v>434</v>
      </c>
      <c r="C12" s="43"/>
      <c r="D12" s="43"/>
      <c r="E12" s="44"/>
      <c r="F12" s="45"/>
      <c r="G12" s="45"/>
      <c r="H12" s="45"/>
      <c r="I12" s="45"/>
      <c r="J12" s="45"/>
      <c r="K12" s="44"/>
      <c r="L12" s="43"/>
      <c r="M12" s="43"/>
      <c r="N12" s="123"/>
    </row>
    <row r="13" spans="1:14" x14ac:dyDescent="0.35">
      <c r="A13" s="28"/>
      <c r="B13" s="43"/>
      <c r="C13" s="43"/>
      <c r="D13" s="43"/>
      <c r="E13" s="44"/>
      <c r="F13" s="45"/>
      <c r="G13" s="45"/>
      <c r="H13" s="45"/>
      <c r="I13" s="45"/>
      <c r="J13" s="45"/>
      <c r="K13" s="141">
        <f>SUM(K10:K12)</f>
        <v>4800</v>
      </c>
      <c r="L13" s="43"/>
      <c r="M13" s="43"/>
      <c r="N13" s="123"/>
    </row>
    <row r="14" spans="1:14" x14ac:dyDescent="0.35">
      <c r="A14" s="28"/>
      <c r="B14" s="43"/>
      <c r="C14" s="43"/>
      <c r="D14" s="43"/>
      <c r="E14" s="44"/>
      <c r="F14" s="45"/>
      <c r="G14" s="45"/>
      <c r="H14" s="45"/>
      <c r="I14" s="45"/>
      <c r="J14" s="45"/>
      <c r="K14" s="44"/>
      <c r="L14" s="43"/>
      <c r="M14" s="43"/>
      <c r="N14" s="123"/>
    </row>
    <row r="15" spans="1:14" x14ac:dyDescent="0.35">
      <c r="A15" s="28"/>
      <c r="B15" s="43"/>
      <c r="C15" s="43"/>
      <c r="D15" s="43"/>
      <c r="E15" s="44"/>
      <c r="F15" s="45"/>
      <c r="G15" s="45"/>
      <c r="H15" s="45"/>
      <c r="I15" s="45"/>
      <c r="J15" s="45"/>
      <c r="K15" s="141">
        <f>SUM(K14:K14)</f>
        <v>0</v>
      </c>
      <c r="L15" s="43"/>
      <c r="M15" s="43"/>
      <c r="N15" s="123"/>
    </row>
    <row r="16" spans="1:14" x14ac:dyDescent="0.35">
      <c r="A16" s="28"/>
      <c r="B16" s="144" t="s">
        <v>256</v>
      </c>
      <c r="C16" s="43"/>
      <c r="D16" s="43"/>
      <c r="E16" s="44"/>
      <c r="F16" s="45"/>
      <c r="G16" s="45"/>
      <c r="H16" s="45"/>
      <c r="I16" s="45"/>
      <c r="J16" s="45"/>
      <c r="K16" s="44"/>
      <c r="L16" s="43"/>
      <c r="M16" s="43"/>
      <c r="N16" s="123"/>
    </row>
    <row r="17" spans="1:14" x14ac:dyDescent="0.35">
      <c r="A17" s="28">
        <v>1</v>
      </c>
      <c r="B17" s="43" t="s">
        <v>170</v>
      </c>
      <c r="C17" s="43" t="s">
        <v>20</v>
      </c>
      <c r="D17" s="43" t="s">
        <v>54</v>
      </c>
      <c r="E17" s="44"/>
      <c r="F17" s="45"/>
      <c r="G17" s="45"/>
      <c r="H17" s="45"/>
      <c r="I17" s="45"/>
      <c r="J17" s="45"/>
      <c r="K17" s="44">
        <f t="shared" ref="K17:K18" si="1">2400-(E17+G17+I17)</f>
        <v>2400</v>
      </c>
      <c r="L17" s="43" t="s">
        <v>256</v>
      </c>
      <c r="M17" s="43"/>
      <c r="N17" s="123"/>
    </row>
    <row r="18" spans="1:14" x14ac:dyDescent="0.35">
      <c r="A18" s="28">
        <v>2</v>
      </c>
      <c r="B18" s="43" t="s">
        <v>172</v>
      </c>
      <c r="C18" s="43" t="s">
        <v>20</v>
      </c>
      <c r="D18" s="43" t="s">
        <v>54</v>
      </c>
      <c r="E18" s="44"/>
      <c r="F18" s="45"/>
      <c r="G18" s="45"/>
      <c r="H18" s="45"/>
      <c r="I18" s="45"/>
      <c r="J18" s="45"/>
      <c r="K18" s="44">
        <f t="shared" si="1"/>
        <v>2400</v>
      </c>
      <c r="L18" s="43" t="s">
        <v>256</v>
      </c>
      <c r="M18" s="43"/>
      <c r="N18" s="123"/>
    </row>
    <row r="19" spans="1:14" x14ac:dyDescent="0.35">
      <c r="A19" s="28">
        <v>3</v>
      </c>
      <c r="B19" s="43" t="s">
        <v>174</v>
      </c>
      <c r="C19" s="43" t="s">
        <v>20</v>
      </c>
      <c r="D19" s="43"/>
      <c r="E19" s="44"/>
      <c r="F19" s="45"/>
      <c r="G19" s="45"/>
      <c r="H19" s="45"/>
      <c r="I19" s="45"/>
      <c r="J19" s="45"/>
      <c r="K19" s="44">
        <v>1200</v>
      </c>
      <c r="L19" s="43" t="s">
        <v>256</v>
      </c>
      <c r="M19" s="43"/>
      <c r="N19" s="123"/>
    </row>
    <row r="20" spans="1:14" x14ac:dyDescent="0.35">
      <c r="A20" s="29"/>
      <c r="B20" s="43"/>
      <c r="C20" s="43"/>
      <c r="D20" s="43"/>
      <c r="E20" s="44"/>
      <c r="F20" s="45"/>
      <c r="G20" s="45"/>
      <c r="H20" s="45"/>
      <c r="I20" s="45"/>
      <c r="J20" s="45"/>
      <c r="K20" s="44"/>
      <c r="L20" s="43"/>
      <c r="M20" s="43"/>
      <c r="N20" s="123"/>
    </row>
    <row r="21" spans="1:14" x14ac:dyDescent="0.35">
      <c r="A21" s="29"/>
      <c r="B21" s="43"/>
      <c r="C21" s="43"/>
      <c r="D21" s="43"/>
      <c r="E21" s="44"/>
      <c r="F21" s="45"/>
      <c r="G21" s="45"/>
      <c r="H21" s="45"/>
      <c r="I21" s="45"/>
      <c r="J21" s="45"/>
      <c r="K21" s="141">
        <f>SUM(K17:K20)</f>
        <v>6000</v>
      </c>
      <c r="L21" s="43"/>
      <c r="M21" s="43"/>
      <c r="N21" s="123"/>
    </row>
    <row r="22" spans="1:14" x14ac:dyDescent="0.35">
      <c r="A22" s="29"/>
      <c r="B22" s="43"/>
      <c r="C22" s="43"/>
      <c r="D22" s="43"/>
      <c r="E22" s="44"/>
      <c r="F22" s="45"/>
      <c r="G22" s="45"/>
      <c r="H22" s="45"/>
      <c r="I22" s="45"/>
      <c r="J22" s="45"/>
      <c r="K22" s="44"/>
      <c r="L22" s="43"/>
      <c r="M22" s="43"/>
      <c r="N22" s="123"/>
    </row>
    <row r="23" spans="1:14" x14ac:dyDescent="0.35">
      <c r="A23" s="29"/>
      <c r="B23" s="144" t="s">
        <v>257</v>
      </c>
      <c r="C23" s="43"/>
      <c r="D23" s="43"/>
      <c r="E23" s="44"/>
      <c r="F23" s="45"/>
      <c r="G23" s="45"/>
      <c r="H23" s="45"/>
      <c r="I23" s="45"/>
      <c r="J23" s="45"/>
      <c r="K23" s="44"/>
      <c r="L23" s="43"/>
      <c r="M23" s="43"/>
      <c r="N23" s="123"/>
    </row>
    <row r="24" spans="1:14" ht="15" thickBot="1" x14ac:dyDescent="0.4">
      <c r="A24" s="28">
        <v>1</v>
      </c>
      <c r="B24" s="43" t="s">
        <v>176</v>
      </c>
      <c r="C24" s="43" t="s">
        <v>20</v>
      </c>
      <c r="D24" s="43" t="s">
        <v>54</v>
      </c>
      <c r="E24" s="44"/>
      <c r="F24" s="45"/>
      <c r="G24" s="45"/>
      <c r="H24" s="45"/>
      <c r="I24" s="45"/>
      <c r="J24" s="45"/>
      <c r="K24" s="44">
        <f t="shared" ref="K24:K29" si="2">2400-(E24+G24+I24)</f>
        <v>2400</v>
      </c>
      <c r="L24" s="43" t="s">
        <v>257</v>
      </c>
      <c r="M24" s="43"/>
      <c r="N24" s="123"/>
    </row>
    <row r="25" spans="1:14" ht="15" thickBot="1" x14ac:dyDescent="0.4">
      <c r="A25" s="29">
        <v>2</v>
      </c>
      <c r="B25" s="132" t="s">
        <v>180</v>
      </c>
      <c r="C25" s="132" t="s">
        <v>20</v>
      </c>
      <c r="D25" s="132" t="s">
        <v>54</v>
      </c>
      <c r="E25" s="133"/>
      <c r="F25" s="136"/>
      <c r="G25" s="136"/>
      <c r="H25" s="136"/>
      <c r="I25" s="136"/>
      <c r="J25" s="138"/>
      <c r="K25" s="134">
        <f t="shared" si="2"/>
        <v>2400</v>
      </c>
      <c r="L25" s="43" t="s">
        <v>257</v>
      </c>
      <c r="M25" s="132"/>
      <c r="N25" s="140"/>
    </row>
    <row r="26" spans="1:14" x14ac:dyDescent="0.35">
      <c r="A26" s="28">
        <v>3</v>
      </c>
      <c r="B26" s="58" t="s">
        <v>183</v>
      </c>
      <c r="C26" s="58" t="s">
        <v>20</v>
      </c>
      <c r="D26" s="58" t="s">
        <v>54</v>
      </c>
      <c r="E26" s="59"/>
      <c r="F26" s="60"/>
      <c r="G26" s="60"/>
      <c r="H26" s="60"/>
      <c r="I26" s="60"/>
      <c r="J26" s="60"/>
      <c r="K26" s="59">
        <f t="shared" si="2"/>
        <v>2400</v>
      </c>
      <c r="L26" s="43" t="s">
        <v>257</v>
      </c>
      <c r="M26" s="58"/>
      <c r="N26" s="122"/>
    </row>
    <row r="27" spans="1:14" x14ac:dyDescent="0.35">
      <c r="A27" s="28">
        <v>4</v>
      </c>
      <c r="B27" s="43" t="s">
        <v>186</v>
      </c>
      <c r="C27" s="43" t="s">
        <v>22</v>
      </c>
      <c r="D27" s="43" t="s">
        <v>54</v>
      </c>
      <c r="E27" s="44"/>
      <c r="F27" s="45"/>
      <c r="G27" s="45"/>
      <c r="H27" s="45"/>
      <c r="I27" s="45"/>
      <c r="J27" s="45"/>
      <c r="K27" s="44">
        <f t="shared" si="2"/>
        <v>2400</v>
      </c>
      <c r="L27" s="43" t="s">
        <v>257</v>
      </c>
      <c r="M27" s="43"/>
      <c r="N27" s="123"/>
    </row>
    <row r="28" spans="1:14" x14ac:dyDescent="0.35">
      <c r="A28" s="29">
        <v>5</v>
      </c>
      <c r="B28" s="43" t="s">
        <v>188</v>
      </c>
      <c r="C28" s="43" t="s">
        <v>22</v>
      </c>
      <c r="D28" s="43" t="s">
        <v>54</v>
      </c>
      <c r="E28" s="44"/>
      <c r="F28" s="45"/>
      <c r="G28" s="45"/>
      <c r="H28" s="45"/>
      <c r="I28" s="45"/>
      <c r="J28" s="45"/>
      <c r="K28" s="44">
        <v>1000</v>
      </c>
      <c r="L28" s="43" t="s">
        <v>257</v>
      </c>
      <c r="M28" s="43"/>
      <c r="N28" s="123"/>
    </row>
    <row r="29" spans="1:14" x14ac:dyDescent="0.35">
      <c r="A29" s="28">
        <v>6</v>
      </c>
      <c r="B29" s="43" t="s">
        <v>189</v>
      </c>
      <c r="C29" s="43" t="s">
        <v>22</v>
      </c>
      <c r="D29" s="43" t="s">
        <v>54</v>
      </c>
      <c r="E29" s="44"/>
      <c r="F29" s="45"/>
      <c r="G29" s="45"/>
      <c r="H29" s="45"/>
      <c r="I29" s="45"/>
      <c r="J29" s="45"/>
      <c r="K29" s="44">
        <f t="shared" si="2"/>
        <v>2400</v>
      </c>
      <c r="L29" s="43" t="s">
        <v>257</v>
      </c>
      <c r="M29" s="43"/>
      <c r="N29" s="123"/>
    </row>
    <row r="30" spans="1:14" x14ac:dyDescent="0.35">
      <c r="A30" s="28"/>
      <c r="B30" s="43"/>
      <c r="C30" s="43"/>
      <c r="D30" s="43"/>
      <c r="E30" s="44"/>
      <c r="F30" s="45"/>
      <c r="G30" s="45"/>
      <c r="H30" s="45"/>
      <c r="I30" s="45"/>
      <c r="J30" s="45"/>
      <c r="K30" s="141">
        <f>SUM(K24:K29)</f>
        <v>13000</v>
      </c>
      <c r="L30" s="43"/>
      <c r="M30" s="43"/>
      <c r="N30" s="123"/>
    </row>
    <row r="31" spans="1:14" x14ac:dyDescent="0.35">
      <c r="A31" s="28"/>
      <c r="B31" s="144" t="s">
        <v>258</v>
      </c>
      <c r="C31" s="43"/>
      <c r="D31" s="43"/>
      <c r="E31" s="44"/>
      <c r="F31" s="45"/>
      <c r="G31" s="45"/>
      <c r="H31" s="45"/>
      <c r="I31" s="45"/>
      <c r="J31" s="45"/>
      <c r="K31" s="44"/>
      <c r="L31" s="43"/>
      <c r="M31" s="43"/>
      <c r="N31" s="123"/>
    </row>
    <row r="32" spans="1:14" x14ac:dyDescent="0.35">
      <c r="A32" s="28">
        <v>1</v>
      </c>
      <c r="B32" s="43" t="s">
        <v>195</v>
      </c>
      <c r="C32" s="43" t="s">
        <v>20</v>
      </c>
      <c r="D32" s="43" t="s">
        <v>54</v>
      </c>
      <c r="E32" s="44"/>
      <c r="F32" s="45"/>
      <c r="G32" s="45"/>
      <c r="H32" s="45"/>
      <c r="I32" s="45"/>
      <c r="J32" s="45"/>
      <c r="K32" s="44">
        <f>2400-(E32+G32+I32)</f>
        <v>2400</v>
      </c>
      <c r="L32" s="43" t="s">
        <v>258</v>
      </c>
      <c r="M32" s="43"/>
      <c r="N32" s="123"/>
    </row>
    <row r="33" spans="1:14" x14ac:dyDescent="0.35">
      <c r="A33" s="28">
        <v>2</v>
      </c>
      <c r="B33" s="43" t="s">
        <v>196</v>
      </c>
      <c r="C33" s="43" t="s">
        <v>22</v>
      </c>
      <c r="D33" s="43" t="s">
        <v>54</v>
      </c>
      <c r="E33" s="44"/>
      <c r="F33" s="45"/>
      <c r="G33" s="45"/>
      <c r="H33" s="45"/>
      <c r="I33" s="45"/>
      <c r="J33" s="45"/>
      <c r="K33" s="44">
        <v>1000</v>
      </c>
      <c r="L33" s="43" t="s">
        <v>258</v>
      </c>
      <c r="M33" s="43"/>
      <c r="N33" s="123"/>
    </row>
    <row r="34" spans="1:14" x14ac:dyDescent="0.35">
      <c r="A34" s="29"/>
      <c r="B34" s="43"/>
      <c r="C34" s="43"/>
      <c r="D34" s="43"/>
      <c r="E34" s="44"/>
      <c r="F34" s="45"/>
      <c r="G34" s="45"/>
      <c r="H34" s="45"/>
      <c r="I34" s="45"/>
      <c r="J34" s="45"/>
      <c r="K34" s="141">
        <f>SUM(K32:K33)</f>
        <v>3400</v>
      </c>
      <c r="L34" s="43"/>
      <c r="M34" s="43"/>
      <c r="N34" s="123"/>
    </row>
    <row r="35" spans="1:14" x14ac:dyDescent="0.35">
      <c r="A35" s="29"/>
      <c r="B35" s="144" t="s">
        <v>259</v>
      </c>
      <c r="C35" s="43"/>
      <c r="D35" s="43"/>
      <c r="E35" s="44"/>
      <c r="F35" s="45"/>
      <c r="G35" s="45"/>
      <c r="H35" s="45"/>
      <c r="I35" s="45"/>
      <c r="J35" s="45"/>
      <c r="K35" s="44"/>
      <c r="L35" s="43"/>
      <c r="M35" s="43"/>
      <c r="N35" s="123"/>
    </row>
    <row r="36" spans="1:14" x14ac:dyDescent="0.35">
      <c r="A36" s="29">
        <v>1</v>
      </c>
      <c r="B36" s="43" t="s">
        <v>237</v>
      </c>
      <c r="C36" s="43" t="s">
        <v>20</v>
      </c>
      <c r="D36" s="43" t="s">
        <v>54</v>
      </c>
      <c r="E36" s="44"/>
      <c r="F36" s="45"/>
      <c r="G36" s="45"/>
      <c r="H36" s="45"/>
      <c r="I36" s="45"/>
      <c r="J36" s="45"/>
      <c r="K36" s="44">
        <v>2400</v>
      </c>
      <c r="L36" s="43" t="s">
        <v>259</v>
      </c>
      <c r="M36" s="43"/>
      <c r="N36" s="123"/>
    </row>
    <row r="37" spans="1:14" x14ac:dyDescent="0.35">
      <c r="A37" s="28"/>
      <c r="B37" s="43"/>
      <c r="C37" s="43"/>
      <c r="D37" s="43"/>
      <c r="E37" s="133"/>
      <c r="F37" s="45"/>
      <c r="G37" s="45"/>
      <c r="H37" s="45"/>
      <c r="I37" s="45"/>
      <c r="J37" s="45"/>
      <c r="K37" s="145">
        <f>SUM(K36:K36)</f>
        <v>2400</v>
      </c>
      <c r="L37" s="43"/>
      <c r="M37" s="43"/>
      <c r="N37" s="123"/>
    </row>
    <row r="38" spans="1:14" x14ac:dyDescent="0.35">
      <c r="A38" s="28"/>
      <c r="B38" s="144" t="s">
        <v>261</v>
      </c>
      <c r="C38" s="43"/>
      <c r="D38" s="43"/>
      <c r="E38" s="133"/>
      <c r="F38" s="45"/>
      <c r="G38" s="45"/>
      <c r="H38" s="45"/>
      <c r="I38" s="45"/>
      <c r="J38" s="45"/>
      <c r="K38" s="133"/>
      <c r="L38" s="43"/>
      <c r="M38" s="43"/>
      <c r="N38" s="123"/>
    </row>
    <row r="39" spans="1:14" x14ac:dyDescent="0.35">
      <c r="A39" s="28">
        <v>1</v>
      </c>
      <c r="B39" s="43" t="s">
        <v>243</v>
      </c>
      <c r="C39" s="43" t="s">
        <v>22</v>
      </c>
      <c r="D39" s="43" t="s">
        <v>54</v>
      </c>
      <c r="E39" s="44"/>
      <c r="F39" s="45"/>
      <c r="G39" s="45"/>
      <c r="H39" s="45"/>
      <c r="I39" s="45"/>
      <c r="J39" s="45"/>
      <c r="K39" s="44">
        <v>2400</v>
      </c>
      <c r="L39" s="43" t="s">
        <v>259</v>
      </c>
      <c r="M39" s="43"/>
      <c r="N39" s="123"/>
    </row>
    <row r="40" spans="1:14" x14ac:dyDescent="0.35">
      <c r="A40" s="28">
        <v>2</v>
      </c>
      <c r="B40" s="43" t="s">
        <v>242</v>
      </c>
      <c r="C40" s="43" t="s">
        <v>22</v>
      </c>
      <c r="D40" s="43" t="s">
        <v>54</v>
      </c>
      <c r="E40" s="44"/>
      <c r="F40" s="45"/>
      <c r="G40" s="45"/>
      <c r="H40" s="45"/>
      <c r="I40" s="45"/>
      <c r="J40" s="45"/>
      <c r="K40" s="44">
        <v>1200</v>
      </c>
      <c r="L40" s="43" t="s">
        <v>259</v>
      </c>
      <c r="M40" s="43"/>
      <c r="N40" s="123"/>
    </row>
    <row r="41" spans="1:14" x14ac:dyDescent="0.35">
      <c r="A41" s="29"/>
      <c r="B41" s="43"/>
      <c r="C41" s="43"/>
      <c r="D41" s="43"/>
      <c r="E41" s="44"/>
      <c r="F41" s="45"/>
      <c r="G41" s="45"/>
      <c r="H41" s="45"/>
      <c r="I41" s="45"/>
      <c r="J41" s="45"/>
      <c r="K41" s="141">
        <f>SUM(K39:K40)</f>
        <v>3600</v>
      </c>
      <c r="L41" s="43"/>
      <c r="M41" s="43"/>
      <c r="N41" s="123"/>
    </row>
    <row r="42" spans="1:14" x14ac:dyDescent="0.35">
      <c r="A42" s="29"/>
      <c r="B42" s="144" t="s">
        <v>260</v>
      </c>
      <c r="C42" s="43"/>
      <c r="D42" s="43"/>
      <c r="E42" s="44"/>
      <c r="F42" s="45"/>
      <c r="G42" s="45"/>
      <c r="H42" s="45"/>
      <c r="I42" s="45"/>
      <c r="J42" s="45"/>
      <c r="K42" s="44"/>
      <c r="L42" s="43"/>
      <c r="M42" s="43"/>
      <c r="N42" s="123"/>
    </row>
    <row r="43" spans="1:14" x14ac:dyDescent="0.35">
      <c r="A43" s="29">
        <v>1</v>
      </c>
      <c r="B43" s="43" t="s">
        <v>216</v>
      </c>
      <c r="C43" s="43" t="s">
        <v>22</v>
      </c>
      <c r="D43" s="43" t="s">
        <v>54</v>
      </c>
      <c r="E43" s="44"/>
      <c r="F43" s="45"/>
      <c r="G43" s="45"/>
      <c r="H43" s="45"/>
      <c r="I43" s="45"/>
      <c r="J43" s="45"/>
      <c r="K43" s="44">
        <f t="shared" ref="K43:K47" si="3">2400-(E43+G43+I43)</f>
        <v>2400</v>
      </c>
      <c r="L43" s="43" t="s">
        <v>260</v>
      </c>
      <c r="M43" s="43"/>
      <c r="N43" s="123"/>
    </row>
    <row r="44" spans="1:14" x14ac:dyDescent="0.35">
      <c r="A44" s="28">
        <v>2</v>
      </c>
      <c r="B44" s="43" t="s">
        <v>217</v>
      </c>
      <c r="C44" s="43" t="s">
        <v>22</v>
      </c>
      <c r="D44" s="43" t="s">
        <v>54</v>
      </c>
      <c r="E44" s="44"/>
      <c r="F44" s="45"/>
      <c r="G44" s="45"/>
      <c r="H44" s="45"/>
      <c r="I44" s="45"/>
      <c r="J44" s="45"/>
      <c r="K44" s="44">
        <f t="shared" si="3"/>
        <v>2400</v>
      </c>
      <c r="L44" s="43" t="s">
        <v>260</v>
      </c>
      <c r="M44" s="43"/>
      <c r="N44" s="123"/>
    </row>
    <row r="45" spans="1:14" x14ac:dyDescent="0.35">
      <c r="A45" s="28">
        <v>3</v>
      </c>
      <c r="B45" s="43" t="s">
        <v>219</v>
      </c>
      <c r="C45" s="43" t="s">
        <v>22</v>
      </c>
      <c r="D45" s="43" t="s">
        <v>54</v>
      </c>
      <c r="E45" s="44"/>
      <c r="F45" s="45"/>
      <c r="G45" s="45"/>
      <c r="H45" s="45"/>
      <c r="I45" s="45"/>
      <c r="J45" s="45"/>
      <c r="K45" s="44">
        <f t="shared" si="3"/>
        <v>2400</v>
      </c>
      <c r="L45" s="43" t="s">
        <v>260</v>
      </c>
      <c r="M45" s="43"/>
      <c r="N45" s="123"/>
    </row>
    <row r="46" spans="1:14" x14ac:dyDescent="0.35">
      <c r="A46" s="29">
        <v>4</v>
      </c>
      <c r="B46" s="43" t="s">
        <v>221</v>
      </c>
      <c r="C46" s="43" t="s">
        <v>22</v>
      </c>
      <c r="D46" s="43" t="s">
        <v>54</v>
      </c>
      <c r="E46" s="44"/>
      <c r="F46" s="45"/>
      <c r="G46" s="45"/>
      <c r="H46" s="45"/>
      <c r="I46" s="45"/>
      <c r="J46" s="45"/>
      <c r="K46" s="44">
        <f t="shared" si="3"/>
        <v>2400</v>
      </c>
      <c r="L46" s="43" t="s">
        <v>260</v>
      </c>
      <c r="M46" s="43"/>
      <c r="N46" s="123"/>
    </row>
    <row r="47" spans="1:14" x14ac:dyDescent="0.35">
      <c r="A47" s="29">
        <v>5</v>
      </c>
      <c r="B47" s="43" t="s">
        <v>229</v>
      </c>
      <c r="C47" s="43" t="s">
        <v>20</v>
      </c>
      <c r="D47" s="43" t="s">
        <v>54</v>
      </c>
      <c r="E47" s="44"/>
      <c r="F47" s="45"/>
      <c r="G47" s="45"/>
      <c r="H47" s="45"/>
      <c r="I47" s="45"/>
      <c r="J47" s="45"/>
      <c r="K47" s="44">
        <f t="shared" si="3"/>
        <v>2400</v>
      </c>
      <c r="L47" s="43" t="s">
        <v>260</v>
      </c>
      <c r="M47" s="43"/>
      <c r="N47" s="123"/>
    </row>
    <row r="48" spans="1:14" x14ac:dyDescent="0.35">
      <c r="A48" s="28"/>
      <c r="B48" s="14"/>
      <c r="C48" s="14"/>
      <c r="D48" s="14"/>
      <c r="E48" s="67">
        <f>SUM(E37:E47)</f>
        <v>0</v>
      </c>
      <c r="F48" s="7"/>
      <c r="G48" s="7"/>
      <c r="H48" s="7"/>
      <c r="I48" s="7"/>
      <c r="J48" s="7"/>
      <c r="K48" s="143">
        <f>SUM(K43:K47)</f>
        <v>12000</v>
      </c>
      <c r="L48" s="14"/>
      <c r="M48" s="14"/>
      <c r="N48" s="119"/>
    </row>
    <row r="49" spans="1:1" x14ac:dyDescent="0.35">
      <c r="A49" s="30"/>
    </row>
  </sheetData>
  <sortState xmlns:xlrd2="http://schemas.microsoft.com/office/spreadsheetml/2017/richdata2" ref="A1:N48">
    <sortCondition ref="K1:K48"/>
  </sortState>
  <phoneticPr fontId="10" type="noConversion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6808C-F8AF-4147-9640-3E08FCA46081}">
  <dimension ref="A1:P104"/>
  <sheetViews>
    <sheetView topLeftCell="A83" workbookViewId="0">
      <selection activeCell="O96" sqref="O96"/>
    </sheetView>
  </sheetViews>
  <sheetFormatPr defaultRowHeight="14.5" x14ac:dyDescent="0.35"/>
  <cols>
    <col min="1" max="1" width="2.81640625" bestFit="1" customWidth="1"/>
    <col min="2" max="2" width="23.90625" bestFit="1" customWidth="1"/>
    <col min="3" max="3" width="3.6328125" bestFit="1" customWidth="1"/>
    <col min="4" max="4" width="10.1796875" bestFit="1" customWidth="1"/>
    <col min="5" max="6" width="11.1796875" bestFit="1" customWidth="1"/>
    <col min="7" max="7" width="8.54296875" customWidth="1"/>
    <col min="8" max="8" width="0.54296875" hidden="1" customWidth="1"/>
    <col min="9" max="9" width="0.26953125" hidden="1" customWidth="1"/>
    <col min="10" max="10" width="0.7265625" hidden="1" customWidth="1"/>
    <col min="11" max="11" width="0.54296875" hidden="1" customWidth="1"/>
    <col min="12" max="13" width="8.7265625" hidden="1" customWidth="1"/>
    <col min="14" max="14" width="5.90625" customWidth="1"/>
    <col min="15" max="15" width="11.1796875" bestFit="1" customWidth="1"/>
  </cols>
  <sheetData>
    <row r="1" spans="1:15" ht="15" thickBot="1" x14ac:dyDescent="0.4">
      <c r="A1" s="255"/>
      <c r="B1" s="13" t="s">
        <v>293</v>
      </c>
      <c r="C1" s="25"/>
      <c r="D1" s="25"/>
      <c r="E1" s="13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x14ac:dyDescent="0.35">
      <c r="A2" s="14"/>
      <c r="B2" s="396" t="s">
        <v>8</v>
      </c>
      <c r="C2" s="388" t="s">
        <v>9</v>
      </c>
      <c r="D2" s="398" t="s">
        <v>10</v>
      </c>
      <c r="E2" s="208"/>
      <c r="F2" s="387" t="s">
        <v>11</v>
      </c>
      <c r="G2" s="387"/>
      <c r="H2" s="162"/>
      <c r="I2" s="400" t="s">
        <v>12</v>
      </c>
      <c r="J2" s="401"/>
      <c r="K2" s="162"/>
      <c r="L2" s="400" t="s">
        <v>13</v>
      </c>
      <c r="M2" s="401"/>
      <c r="N2" s="162"/>
      <c r="O2" s="387" t="s">
        <v>14</v>
      </c>
    </row>
    <row r="3" spans="1:15" ht="87" x14ac:dyDescent="0.35">
      <c r="A3" s="14"/>
      <c r="B3" s="397"/>
      <c r="C3" s="389"/>
      <c r="D3" s="399"/>
      <c r="E3" s="208" t="s">
        <v>433</v>
      </c>
      <c r="F3" s="181" t="s">
        <v>17</v>
      </c>
      <c r="G3" s="11" t="s">
        <v>288</v>
      </c>
      <c r="H3" s="11" t="s">
        <v>431</v>
      </c>
      <c r="I3" s="11" t="s">
        <v>17</v>
      </c>
      <c r="J3" s="11" t="s">
        <v>19</v>
      </c>
      <c r="K3" s="11" t="s">
        <v>431</v>
      </c>
      <c r="L3" s="11" t="s">
        <v>17</v>
      </c>
      <c r="M3" s="11" t="s">
        <v>19</v>
      </c>
      <c r="N3" s="11" t="s">
        <v>431</v>
      </c>
      <c r="O3" s="375"/>
    </row>
    <row r="4" spans="1:15" ht="15" thickBot="1" x14ac:dyDescent="0.4">
      <c r="A4" s="14">
        <v>1</v>
      </c>
      <c r="B4" s="241" t="s">
        <v>326</v>
      </c>
      <c r="C4" s="36" t="s">
        <v>22</v>
      </c>
      <c r="D4" s="164" t="s">
        <v>21</v>
      </c>
      <c r="E4" s="37">
        <v>2400</v>
      </c>
      <c r="F4" s="182">
        <v>1200</v>
      </c>
      <c r="G4" s="36"/>
      <c r="H4" s="36"/>
      <c r="I4" s="36"/>
      <c r="J4" s="36"/>
      <c r="K4" s="36"/>
      <c r="L4" s="36"/>
      <c r="M4" s="36"/>
      <c r="N4" s="36"/>
      <c r="O4" s="37">
        <f>2400-(F4+I4+L4)</f>
        <v>1200</v>
      </c>
    </row>
    <row r="5" spans="1:15" ht="15" thickBot="1" x14ac:dyDescent="0.4">
      <c r="A5" s="14"/>
      <c r="B5" s="243"/>
      <c r="C5" s="56"/>
      <c r="D5" s="88"/>
      <c r="E5" s="23"/>
      <c r="F5" s="183">
        <f>SUM(F4:F4)</f>
        <v>1200</v>
      </c>
      <c r="G5" s="55"/>
      <c r="H5" s="55"/>
      <c r="I5" s="56"/>
      <c r="J5" s="56"/>
      <c r="K5" s="56"/>
      <c r="L5" s="56"/>
      <c r="M5" s="88"/>
      <c r="N5" s="5"/>
      <c r="O5" s="92">
        <f>SUM(O4:O4)</f>
        <v>1200</v>
      </c>
    </row>
    <row r="6" spans="1:15" ht="15" thickBot="1" x14ac:dyDescent="0.4">
      <c r="A6" s="14"/>
      <c r="B6" s="244" t="s">
        <v>294</v>
      </c>
      <c r="C6" s="110"/>
      <c r="D6" s="165"/>
      <c r="E6" s="209"/>
      <c r="F6" s="184"/>
      <c r="G6" s="110"/>
      <c r="H6" s="110"/>
      <c r="I6" s="110"/>
      <c r="J6" s="110"/>
      <c r="K6" s="110"/>
      <c r="L6" s="110"/>
      <c r="M6" s="110"/>
      <c r="N6" s="110"/>
      <c r="O6" s="111"/>
    </row>
    <row r="7" spans="1:15" x14ac:dyDescent="0.35">
      <c r="A7" s="14">
        <v>2</v>
      </c>
      <c r="B7" s="241" t="s">
        <v>310</v>
      </c>
      <c r="C7" s="36" t="s">
        <v>20</v>
      </c>
      <c r="D7" s="164" t="s">
        <v>54</v>
      </c>
      <c r="E7" s="37">
        <v>2160</v>
      </c>
      <c r="F7" s="182">
        <v>1200</v>
      </c>
      <c r="G7" s="36"/>
      <c r="H7" s="36"/>
      <c r="I7" s="36"/>
      <c r="J7" s="36"/>
      <c r="K7" s="36"/>
      <c r="L7" s="36"/>
      <c r="M7" s="36"/>
      <c r="N7" s="36"/>
      <c r="O7" s="37">
        <f>2400-(F7+I7+L7)</f>
        <v>1200</v>
      </c>
    </row>
    <row r="8" spans="1:15" x14ac:dyDescent="0.35">
      <c r="A8" s="14">
        <v>3</v>
      </c>
      <c r="B8" s="246" t="s">
        <v>311</v>
      </c>
      <c r="C8" s="40" t="s">
        <v>20</v>
      </c>
      <c r="D8" s="164" t="s">
        <v>54</v>
      </c>
      <c r="E8" s="37">
        <v>2400</v>
      </c>
      <c r="F8" s="182">
        <v>1400</v>
      </c>
      <c r="G8" s="36"/>
      <c r="H8" s="36"/>
      <c r="I8" s="36"/>
      <c r="J8" s="36"/>
      <c r="K8" s="36"/>
      <c r="L8" s="36"/>
      <c r="M8" s="36"/>
      <c r="N8" s="36"/>
      <c r="O8" s="37">
        <f>2400-(F8+I8+L8)</f>
        <v>1000</v>
      </c>
    </row>
    <row r="9" spans="1:15" x14ac:dyDescent="0.35">
      <c r="A9" s="14">
        <v>4</v>
      </c>
      <c r="B9" s="248" t="s">
        <v>317</v>
      </c>
      <c r="C9" s="41" t="s">
        <v>20</v>
      </c>
      <c r="D9" s="164" t="s">
        <v>54</v>
      </c>
      <c r="E9" s="37">
        <v>2400</v>
      </c>
      <c r="F9" s="182"/>
      <c r="G9" s="36"/>
      <c r="H9" s="36"/>
      <c r="I9" s="36"/>
      <c r="J9" s="36"/>
      <c r="K9" s="36"/>
      <c r="L9" s="36"/>
      <c r="M9" s="36"/>
      <c r="N9" s="36"/>
      <c r="O9" s="37">
        <f>2400-(F9+I9+L9)</f>
        <v>2400</v>
      </c>
    </row>
    <row r="10" spans="1:15" x14ac:dyDescent="0.35">
      <c r="A10" s="14">
        <v>5</v>
      </c>
      <c r="B10" s="248" t="s">
        <v>318</v>
      </c>
      <c r="C10" s="41" t="s">
        <v>20</v>
      </c>
      <c r="D10" s="164" t="s">
        <v>54</v>
      </c>
      <c r="E10" s="37">
        <v>2400</v>
      </c>
      <c r="F10" s="182"/>
      <c r="G10" s="36"/>
      <c r="H10" s="36"/>
      <c r="I10" s="36"/>
      <c r="J10" s="36"/>
      <c r="K10" s="36"/>
      <c r="L10" s="36"/>
      <c r="M10" s="36"/>
      <c r="N10" s="36"/>
      <c r="O10" s="37">
        <f>2400-(F10+I10+L10)</f>
        <v>2400</v>
      </c>
    </row>
    <row r="11" spans="1:15" x14ac:dyDescent="0.35">
      <c r="A11" s="14">
        <v>6</v>
      </c>
      <c r="B11" s="248" t="s">
        <v>332</v>
      </c>
      <c r="C11" s="41" t="s">
        <v>22</v>
      </c>
      <c r="D11" s="164" t="s">
        <v>21</v>
      </c>
      <c r="E11" s="37">
        <v>2400</v>
      </c>
      <c r="F11" s="182">
        <v>2000</v>
      </c>
      <c r="G11" s="36"/>
      <c r="H11" s="36"/>
      <c r="I11" s="37"/>
      <c r="J11" s="36"/>
      <c r="K11" s="36"/>
      <c r="L11" s="36"/>
      <c r="M11" s="36"/>
      <c r="N11" s="36"/>
      <c r="O11" s="37">
        <f>2400-(F11+I11+L11)</f>
        <v>400</v>
      </c>
    </row>
    <row r="12" spans="1:15" x14ac:dyDescent="0.35">
      <c r="A12" s="14">
        <v>7</v>
      </c>
      <c r="B12" s="248" t="s">
        <v>437</v>
      </c>
      <c r="C12" s="41" t="s">
        <v>20</v>
      </c>
      <c r="D12" s="164" t="s">
        <v>21</v>
      </c>
      <c r="E12" s="37">
        <v>2400</v>
      </c>
      <c r="F12" s="182">
        <v>1200</v>
      </c>
      <c r="G12" s="36"/>
      <c r="H12" s="36"/>
      <c r="I12" s="37"/>
      <c r="J12" s="36"/>
      <c r="K12" s="36"/>
      <c r="L12" s="36"/>
      <c r="M12" s="36"/>
      <c r="N12" s="36"/>
      <c r="O12" s="37">
        <v>1200</v>
      </c>
    </row>
    <row r="13" spans="1:15" ht="15" thickBot="1" x14ac:dyDescent="0.4">
      <c r="A13" s="14">
        <v>8</v>
      </c>
      <c r="B13" s="49" t="s">
        <v>438</v>
      </c>
      <c r="C13" s="14" t="s">
        <v>22</v>
      </c>
      <c r="D13" s="17" t="s">
        <v>54</v>
      </c>
      <c r="E13" s="160">
        <v>2400</v>
      </c>
      <c r="F13" s="178">
        <v>1200</v>
      </c>
      <c r="G13" s="7"/>
      <c r="H13" s="7"/>
      <c r="I13" s="7"/>
      <c r="J13" s="7"/>
      <c r="K13" s="7"/>
      <c r="L13" s="7"/>
      <c r="M13" s="7"/>
      <c r="N13" s="56"/>
      <c r="O13" s="46">
        <v>1200</v>
      </c>
    </row>
    <row r="14" spans="1:15" ht="15" thickBot="1" x14ac:dyDescent="0.4">
      <c r="A14" s="14"/>
      <c r="B14" s="89"/>
      <c r="C14" s="52"/>
      <c r="D14" s="53"/>
      <c r="E14" s="160"/>
      <c r="F14" s="187">
        <f>SUM(F7:F13)</f>
        <v>7000</v>
      </c>
      <c r="G14" s="55"/>
      <c r="H14" s="55"/>
      <c r="I14" s="56"/>
      <c r="J14" s="56"/>
      <c r="K14" s="56"/>
      <c r="L14" s="56"/>
      <c r="M14" s="88"/>
      <c r="N14" s="5"/>
      <c r="O14" s="92">
        <f>SUM(O7:O13)</f>
        <v>9800</v>
      </c>
    </row>
    <row r="15" spans="1:15" ht="15" thickBot="1" x14ac:dyDescent="0.4">
      <c r="A15" s="14"/>
      <c r="B15" s="249" t="s">
        <v>25</v>
      </c>
      <c r="C15" s="99"/>
      <c r="D15" s="167"/>
      <c r="E15" s="210"/>
      <c r="F15" s="188"/>
      <c r="G15" s="100"/>
      <c r="H15" s="100"/>
      <c r="I15" s="100"/>
      <c r="J15" s="100"/>
      <c r="K15" s="100"/>
      <c r="L15" s="100"/>
      <c r="M15" s="100"/>
      <c r="N15" s="100"/>
      <c r="O15" s="101"/>
    </row>
    <row r="16" spans="1:15" x14ac:dyDescent="0.35">
      <c r="A16" s="14">
        <v>9</v>
      </c>
      <c r="B16" s="250" t="s">
        <v>410</v>
      </c>
      <c r="C16" s="58" t="s">
        <v>20</v>
      </c>
      <c r="D16" s="168" t="s">
        <v>54</v>
      </c>
      <c r="E16" s="211">
        <v>2400</v>
      </c>
      <c r="F16" s="189"/>
      <c r="G16" s="60"/>
      <c r="H16" s="60"/>
      <c r="I16" s="59"/>
      <c r="J16" s="60"/>
      <c r="K16" s="60"/>
      <c r="L16" s="60"/>
      <c r="M16" s="60"/>
      <c r="N16" s="60"/>
      <c r="O16" s="59">
        <f t="shared" ref="O16:O27" si="0">2400-(F16+I16+L16)</f>
        <v>2400</v>
      </c>
    </row>
    <row r="17" spans="1:15" x14ac:dyDescent="0.35">
      <c r="A17" s="14">
        <v>10</v>
      </c>
      <c r="B17" s="139" t="s">
        <v>138</v>
      </c>
      <c r="C17" s="43" t="s">
        <v>20</v>
      </c>
      <c r="D17" s="169" t="s">
        <v>54</v>
      </c>
      <c r="E17" s="211">
        <v>2400</v>
      </c>
      <c r="F17" s="190">
        <v>1200</v>
      </c>
      <c r="G17" s="45"/>
      <c r="H17" s="45"/>
      <c r="I17" s="45"/>
      <c r="J17" s="45"/>
      <c r="K17" s="45"/>
      <c r="L17" s="45"/>
      <c r="M17" s="45"/>
      <c r="N17" s="45"/>
      <c r="O17" s="44">
        <f t="shared" si="0"/>
        <v>1200</v>
      </c>
    </row>
    <row r="18" spans="1:15" x14ac:dyDescent="0.35">
      <c r="A18" s="14">
        <v>11</v>
      </c>
      <c r="B18" s="139" t="s">
        <v>411</v>
      </c>
      <c r="C18" s="43" t="s">
        <v>20</v>
      </c>
      <c r="D18" s="169" t="s">
        <v>54</v>
      </c>
      <c r="E18" s="211">
        <v>2400</v>
      </c>
      <c r="F18" s="190">
        <v>1500</v>
      </c>
      <c r="G18" s="45"/>
      <c r="H18" s="45"/>
      <c r="I18" s="45"/>
      <c r="J18" s="45"/>
      <c r="K18" s="45"/>
      <c r="L18" s="45"/>
      <c r="M18" s="45"/>
      <c r="N18" s="45"/>
      <c r="O18" s="44">
        <f t="shared" si="0"/>
        <v>900</v>
      </c>
    </row>
    <row r="19" spans="1:15" x14ac:dyDescent="0.35">
      <c r="A19" s="14">
        <v>12</v>
      </c>
      <c r="B19" s="139" t="s">
        <v>322</v>
      </c>
      <c r="C19" s="43" t="s">
        <v>20</v>
      </c>
      <c r="D19" s="169" t="s">
        <v>54</v>
      </c>
      <c r="E19" s="211">
        <v>2400</v>
      </c>
      <c r="F19" s="190">
        <v>1900</v>
      </c>
      <c r="G19" s="45"/>
      <c r="H19" s="45"/>
      <c r="I19" s="45"/>
      <c r="J19" s="45"/>
      <c r="K19" s="45"/>
      <c r="L19" s="45"/>
      <c r="M19" s="45"/>
      <c r="N19" s="45"/>
      <c r="O19" s="44">
        <f t="shared" si="0"/>
        <v>500</v>
      </c>
    </row>
    <row r="20" spans="1:15" x14ac:dyDescent="0.35">
      <c r="A20" s="14">
        <v>13</v>
      </c>
      <c r="B20" s="139" t="s">
        <v>398</v>
      </c>
      <c r="C20" s="43" t="s">
        <v>20</v>
      </c>
      <c r="D20" s="169" t="s">
        <v>54</v>
      </c>
      <c r="E20" s="211">
        <v>2400</v>
      </c>
      <c r="F20" s="190"/>
      <c r="G20" s="45"/>
      <c r="H20" s="45"/>
      <c r="I20" s="45"/>
      <c r="J20" s="45"/>
      <c r="K20" s="45"/>
      <c r="L20" s="45"/>
      <c r="M20" s="45"/>
      <c r="N20" s="45"/>
      <c r="O20" s="44">
        <f t="shared" si="0"/>
        <v>2400</v>
      </c>
    </row>
    <row r="21" spans="1:15" x14ac:dyDescent="0.35">
      <c r="A21" s="14">
        <v>14</v>
      </c>
      <c r="B21" s="139" t="s">
        <v>399</v>
      </c>
      <c r="C21" s="43" t="s">
        <v>20</v>
      </c>
      <c r="D21" s="169" t="s">
        <v>54</v>
      </c>
      <c r="E21" s="211">
        <v>2400</v>
      </c>
      <c r="F21" s="190">
        <v>1200</v>
      </c>
      <c r="G21" s="45"/>
      <c r="H21" s="45"/>
      <c r="I21" s="45"/>
      <c r="J21" s="45"/>
      <c r="K21" s="45"/>
      <c r="L21" s="45"/>
      <c r="M21" s="45"/>
      <c r="N21" s="45"/>
      <c r="O21" s="44">
        <f t="shared" si="0"/>
        <v>1200</v>
      </c>
    </row>
    <row r="22" spans="1:15" x14ac:dyDescent="0.35">
      <c r="A22" s="14">
        <v>15</v>
      </c>
      <c r="B22" s="139" t="s">
        <v>417</v>
      </c>
      <c r="C22" s="43" t="s">
        <v>20</v>
      </c>
      <c r="D22" s="169" t="s">
        <v>54</v>
      </c>
      <c r="E22" s="211">
        <v>2400</v>
      </c>
      <c r="F22" s="190">
        <v>1200</v>
      </c>
      <c r="G22" s="45"/>
      <c r="H22" s="45"/>
      <c r="I22" s="45"/>
      <c r="J22" s="45"/>
      <c r="K22" s="45"/>
      <c r="L22" s="45"/>
      <c r="M22" s="45"/>
      <c r="N22" s="45"/>
      <c r="O22" s="44">
        <f t="shared" si="0"/>
        <v>1200</v>
      </c>
    </row>
    <row r="23" spans="1:15" x14ac:dyDescent="0.35">
      <c r="A23" s="14">
        <v>16</v>
      </c>
      <c r="B23" s="139" t="s">
        <v>412</v>
      </c>
      <c r="C23" s="43" t="s">
        <v>20</v>
      </c>
      <c r="D23" s="169" t="s">
        <v>54</v>
      </c>
      <c r="E23" s="211">
        <v>2400</v>
      </c>
      <c r="F23" s="190">
        <v>1700</v>
      </c>
      <c r="G23" s="45"/>
      <c r="H23" s="45"/>
      <c r="I23" s="45"/>
      <c r="J23" s="45"/>
      <c r="K23" s="45"/>
      <c r="L23" s="45"/>
      <c r="M23" s="45"/>
      <c r="N23" s="45"/>
      <c r="O23" s="44">
        <f t="shared" si="0"/>
        <v>700</v>
      </c>
    </row>
    <row r="24" spans="1:15" x14ac:dyDescent="0.35">
      <c r="A24" s="14">
        <v>17</v>
      </c>
      <c r="B24" s="139" t="s">
        <v>403</v>
      </c>
      <c r="C24" s="43" t="s">
        <v>22</v>
      </c>
      <c r="D24" s="169" t="s">
        <v>54</v>
      </c>
      <c r="E24" s="211">
        <v>2400</v>
      </c>
      <c r="F24" s="190">
        <v>1400</v>
      </c>
      <c r="G24" s="45"/>
      <c r="H24" s="45"/>
      <c r="I24" s="45"/>
      <c r="J24" s="45"/>
      <c r="K24" s="45"/>
      <c r="L24" s="45"/>
      <c r="M24" s="45"/>
      <c r="N24" s="45"/>
      <c r="O24" s="44">
        <f t="shared" si="0"/>
        <v>1000</v>
      </c>
    </row>
    <row r="25" spans="1:15" x14ac:dyDescent="0.35">
      <c r="A25" s="14">
        <v>18</v>
      </c>
      <c r="B25" s="139" t="s">
        <v>409</v>
      </c>
      <c r="C25" s="43" t="s">
        <v>22</v>
      </c>
      <c r="D25" s="169" t="s">
        <v>54</v>
      </c>
      <c r="E25" s="211">
        <v>2400</v>
      </c>
      <c r="F25" s="190">
        <v>1200</v>
      </c>
      <c r="G25" s="45"/>
      <c r="H25" s="45"/>
      <c r="I25" s="45"/>
      <c r="J25" s="45"/>
      <c r="K25" s="45"/>
      <c r="L25" s="45"/>
      <c r="M25" s="45"/>
      <c r="N25" s="45"/>
      <c r="O25" s="44">
        <f t="shared" si="0"/>
        <v>1200</v>
      </c>
    </row>
    <row r="26" spans="1:15" x14ac:dyDescent="0.35">
      <c r="A26" s="14">
        <v>19</v>
      </c>
      <c r="B26" s="139" t="s">
        <v>408</v>
      </c>
      <c r="C26" s="43" t="s">
        <v>22</v>
      </c>
      <c r="D26" s="169" t="s">
        <v>54</v>
      </c>
      <c r="E26" s="211">
        <v>2400</v>
      </c>
      <c r="F26" s="190">
        <v>1650</v>
      </c>
      <c r="G26" s="45"/>
      <c r="H26" s="45"/>
      <c r="I26" s="44"/>
      <c r="J26" s="45"/>
      <c r="K26" s="45"/>
      <c r="L26" s="45"/>
      <c r="M26" s="45"/>
      <c r="N26" s="45"/>
      <c r="O26" s="44">
        <f t="shared" si="0"/>
        <v>750</v>
      </c>
    </row>
    <row r="27" spans="1:15" x14ac:dyDescent="0.35">
      <c r="A27" s="14">
        <v>20</v>
      </c>
      <c r="B27" s="139" t="s">
        <v>296</v>
      </c>
      <c r="C27" s="43" t="s">
        <v>22</v>
      </c>
      <c r="D27" s="169" t="s">
        <v>54</v>
      </c>
      <c r="E27" s="211">
        <v>2400</v>
      </c>
      <c r="F27" s="190">
        <v>1950</v>
      </c>
      <c r="G27" s="45"/>
      <c r="H27" s="45"/>
      <c r="I27" s="45"/>
      <c r="J27" s="45"/>
      <c r="K27" s="45"/>
      <c r="L27" s="45"/>
      <c r="M27" s="45"/>
      <c r="N27" s="45"/>
      <c r="O27" s="44">
        <f t="shared" si="0"/>
        <v>450</v>
      </c>
    </row>
    <row r="28" spans="1:15" x14ac:dyDescent="0.35">
      <c r="A28" s="14">
        <v>21</v>
      </c>
      <c r="B28" s="139" t="s">
        <v>401</v>
      </c>
      <c r="C28" s="43" t="s">
        <v>22</v>
      </c>
      <c r="D28" s="169" t="s">
        <v>54</v>
      </c>
      <c r="E28" s="211">
        <v>2400</v>
      </c>
      <c r="F28" s="190">
        <v>1500</v>
      </c>
      <c r="G28" s="45"/>
      <c r="H28" s="45"/>
      <c r="I28" s="45"/>
      <c r="J28" s="45"/>
      <c r="K28" s="45"/>
      <c r="L28" s="45"/>
      <c r="M28" s="45"/>
      <c r="N28" s="45"/>
      <c r="O28" s="44">
        <v>900</v>
      </c>
    </row>
    <row r="29" spans="1:15" x14ac:dyDescent="0.35">
      <c r="A29" s="14">
        <v>22</v>
      </c>
      <c r="B29" s="139" t="s">
        <v>414</v>
      </c>
      <c r="C29" s="43" t="s">
        <v>22</v>
      </c>
      <c r="D29" s="169" t="s">
        <v>54</v>
      </c>
      <c r="E29" s="211">
        <v>2160</v>
      </c>
      <c r="F29" s="190">
        <v>1200</v>
      </c>
      <c r="G29" s="45"/>
      <c r="H29" s="45"/>
      <c r="I29" s="45"/>
      <c r="J29" s="45"/>
      <c r="K29" s="45"/>
      <c r="L29" s="45"/>
      <c r="M29" s="45"/>
      <c r="N29" s="45"/>
      <c r="O29" s="44">
        <v>960</v>
      </c>
    </row>
    <row r="30" spans="1:15" ht="15" thickBot="1" x14ac:dyDescent="0.4">
      <c r="A30" s="14">
        <v>23</v>
      </c>
      <c r="B30" s="139" t="s">
        <v>435</v>
      </c>
      <c r="C30" s="43" t="s">
        <v>22</v>
      </c>
      <c r="D30" s="169"/>
      <c r="E30" s="211">
        <v>2400</v>
      </c>
      <c r="F30" s="190">
        <v>1200</v>
      </c>
      <c r="G30" s="45"/>
      <c r="H30" s="45"/>
      <c r="I30" s="45"/>
      <c r="J30" s="45"/>
      <c r="K30" s="45"/>
      <c r="L30" s="45"/>
      <c r="M30" s="45"/>
      <c r="N30" s="45"/>
      <c r="O30" s="44">
        <v>1200</v>
      </c>
    </row>
    <row r="31" spans="1:15" ht="15" thickBot="1" x14ac:dyDescent="0.4">
      <c r="A31" s="14"/>
      <c r="B31" s="89"/>
      <c r="C31" s="52"/>
      <c r="D31" s="53"/>
      <c r="E31" s="160"/>
      <c r="F31" s="191">
        <f>SUM(F16:F30)</f>
        <v>18800</v>
      </c>
      <c r="G31" s="55"/>
      <c r="H31" s="55"/>
      <c r="I31" s="56"/>
      <c r="J31" s="56"/>
      <c r="K31" s="56"/>
      <c r="L31" s="56"/>
      <c r="M31" s="88"/>
      <c r="N31" s="5"/>
      <c r="O31" s="92">
        <f>SUM(O16:O30)</f>
        <v>16960</v>
      </c>
    </row>
    <row r="32" spans="1:15" ht="15" thickBot="1" x14ac:dyDescent="0.4">
      <c r="A32" s="14"/>
      <c r="B32" s="251" t="s">
        <v>295</v>
      </c>
      <c r="C32" s="94"/>
      <c r="D32" s="170"/>
      <c r="E32" s="212"/>
      <c r="F32" s="192"/>
      <c r="G32" s="95"/>
      <c r="H32" s="95"/>
      <c r="I32" s="95"/>
      <c r="J32" s="95"/>
      <c r="K32" s="95"/>
      <c r="L32" s="95"/>
      <c r="M32" s="95"/>
      <c r="N32" s="95"/>
      <c r="O32" s="96"/>
    </row>
    <row r="33" spans="1:16" x14ac:dyDescent="0.35">
      <c r="A33" s="14">
        <v>24</v>
      </c>
      <c r="B33" s="139" t="s">
        <v>382</v>
      </c>
      <c r="C33" s="43" t="s">
        <v>22</v>
      </c>
      <c r="D33" s="169" t="s">
        <v>54</v>
      </c>
      <c r="E33" s="211">
        <v>2400</v>
      </c>
      <c r="F33" s="190">
        <v>1200</v>
      </c>
      <c r="G33" s="45"/>
      <c r="H33" s="45"/>
      <c r="I33" s="45"/>
      <c r="J33" s="45"/>
      <c r="K33" s="45"/>
      <c r="L33" s="45"/>
      <c r="M33" s="45"/>
      <c r="N33" s="45"/>
      <c r="O33" s="44">
        <v>1200</v>
      </c>
    </row>
    <row r="34" spans="1:16" x14ac:dyDescent="0.35">
      <c r="A34" s="14">
        <v>25</v>
      </c>
      <c r="B34" s="139" t="s">
        <v>383</v>
      </c>
      <c r="C34" s="43" t="s">
        <v>22</v>
      </c>
      <c r="D34" s="169" t="s">
        <v>21</v>
      </c>
      <c r="E34" s="211">
        <v>2400</v>
      </c>
      <c r="F34" s="190">
        <v>1200</v>
      </c>
      <c r="G34" s="45"/>
      <c r="H34" s="44"/>
      <c r="I34" s="44">
        <v>1000</v>
      </c>
      <c r="J34" s="45"/>
      <c r="K34" s="45"/>
      <c r="L34" s="45"/>
      <c r="M34" s="45"/>
      <c r="N34" s="45"/>
      <c r="O34" s="44">
        <f t="shared" ref="O34:O40" si="1">2400-(F34+I34+L34)</f>
        <v>200</v>
      </c>
    </row>
    <row r="35" spans="1:16" x14ac:dyDescent="0.35">
      <c r="A35" s="14">
        <v>26</v>
      </c>
      <c r="B35" s="139" t="s">
        <v>425</v>
      </c>
      <c r="C35" s="43" t="s">
        <v>22</v>
      </c>
      <c r="D35" s="169" t="s">
        <v>21</v>
      </c>
      <c r="E35" s="211">
        <v>2400</v>
      </c>
      <c r="F35" s="190">
        <v>1200</v>
      </c>
      <c r="G35" s="45"/>
      <c r="H35" s="45"/>
      <c r="I35" s="45"/>
      <c r="J35" s="45"/>
      <c r="K35" s="45"/>
      <c r="L35" s="45"/>
      <c r="M35" s="45"/>
      <c r="N35" s="45"/>
      <c r="O35" s="44">
        <f t="shared" si="1"/>
        <v>1200</v>
      </c>
    </row>
    <row r="36" spans="1:16" x14ac:dyDescent="0.35">
      <c r="A36" s="14">
        <v>27</v>
      </c>
      <c r="B36" s="139" t="s">
        <v>386</v>
      </c>
      <c r="C36" s="43" t="s">
        <v>20</v>
      </c>
      <c r="D36" s="169" t="s">
        <v>54</v>
      </c>
      <c r="E36" s="211">
        <v>2400</v>
      </c>
      <c r="F36" s="190">
        <v>1200</v>
      </c>
      <c r="G36" s="45"/>
      <c r="H36" s="45"/>
      <c r="I36" s="44"/>
      <c r="J36" s="45"/>
      <c r="K36" s="45"/>
      <c r="L36" s="45"/>
      <c r="M36" s="45"/>
      <c r="N36" s="45"/>
      <c r="O36" s="44">
        <f t="shared" si="1"/>
        <v>1200</v>
      </c>
    </row>
    <row r="37" spans="1:16" x14ac:dyDescent="0.35">
      <c r="A37" s="14">
        <v>28</v>
      </c>
      <c r="B37" s="139" t="s">
        <v>387</v>
      </c>
      <c r="C37" s="43" t="s">
        <v>20</v>
      </c>
      <c r="D37" s="169" t="s">
        <v>21</v>
      </c>
      <c r="E37" s="211">
        <v>2400</v>
      </c>
      <c r="F37" s="190">
        <v>1200</v>
      </c>
      <c r="G37" s="45"/>
      <c r="H37" s="45"/>
      <c r="I37" s="45"/>
      <c r="J37" s="45"/>
      <c r="K37" s="45"/>
      <c r="L37" s="45"/>
      <c r="M37" s="45"/>
      <c r="N37" s="45"/>
      <c r="O37" s="44">
        <f t="shared" si="1"/>
        <v>1200</v>
      </c>
    </row>
    <row r="38" spans="1:16" x14ac:dyDescent="0.35">
      <c r="A38" s="14">
        <v>29</v>
      </c>
      <c r="B38" s="139" t="s">
        <v>388</v>
      </c>
      <c r="C38" s="43" t="s">
        <v>20</v>
      </c>
      <c r="D38" s="169" t="s">
        <v>54</v>
      </c>
      <c r="E38" s="211">
        <v>2400</v>
      </c>
      <c r="F38" s="190">
        <v>1200</v>
      </c>
      <c r="G38" s="45"/>
      <c r="H38" s="45"/>
      <c r="I38" s="45"/>
      <c r="J38" s="45"/>
      <c r="K38" s="45"/>
      <c r="L38" s="45"/>
      <c r="M38" s="45"/>
      <c r="N38" s="45"/>
      <c r="O38" s="44">
        <f t="shared" si="1"/>
        <v>1200</v>
      </c>
    </row>
    <row r="39" spans="1:16" x14ac:dyDescent="0.35">
      <c r="A39" s="14">
        <v>30</v>
      </c>
      <c r="B39" s="139" t="s">
        <v>389</v>
      </c>
      <c r="C39" s="43" t="s">
        <v>20</v>
      </c>
      <c r="D39" s="169" t="s">
        <v>54</v>
      </c>
      <c r="E39" s="211">
        <v>2400</v>
      </c>
      <c r="F39" s="190">
        <v>1850</v>
      </c>
      <c r="G39" s="45"/>
      <c r="H39" s="45"/>
      <c r="I39" s="45"/>
      <c r="J39" s="45"/>
      <c r="K39" s="45"/>
      <c r="L39" s="45"/>
      <c r="M39" s="45"/>
      <c r="N39" s="45"/>
      <c r="O39" s="44">
        <f t="shared" si="1"/>
        <v>550</v>
      </c>
    </row>
    <row r="40" spans="1:16" x14ac:dyDescent="0.35">
      <c r="A40" s="14">
        <v>31</v>
      </c>
      <c r="B40" s="139" t="s">
        <v>321</v>
      </c>
      <c r="C40" s="43" t="s">
        <v>20</v>
      </c>
      <c r="D40" s="169" t="s">
        <v>54</v>
      </c>
      <c r="E40" s="211">
        <v>2400</v>
      </c>
      <c r="F40" s="190">
        <v>1200</v>
      </c>
      <c r="G40" s="45"/>
      <c r="H40" s="45"/>
      <c r="I40" s="45"/>
      <c r="J40" s="45"/>
      <c r="K40" s="45"/>
      <c r="L40" s="45"/>
      <c r="M40" s="45"/>
      <c r="N40" s="45"/>
      <c r="O40" s="44">
        <f t="shared" si="1"/>
        <v>1200</v>
      </c>
    </row>
    <row r="41" spans="1:16" x14ac:dyDescent="0.35">
      <c r="A41" s="14">
        <v>32</v>
      </c>
      <c r="B41" s="139" t="s">
        <v>396</v>
      </c>
      <c r="C41" s="43" t="s">
        <v>20</v>
      </c>
      <c r="D41" s="169" t="s">
        <v>54</v>
      </c>
      <c r="E41" s="211">
        <v>2400</v>
      </c>
      <c r="F41" s="190">
        <v>1200</v>
      </c>
      <c r="G41" s="45"/>
      <c r="H41" s="45"/>
      <c r="I41" s="45"/>
      <c r="J41" s="45"/>
      <c r="K41" s="45"/>
      <c r="L41" s="45"/>
      <c r="M41" s="45"/>
      <c r="N41" s="45"/>
      <c r="O41" s="44">
        <v>1200</v>
      </c>
    </row>
    <row r="42" spans="1:16" x14ac:dyDescent="0.35">
      <c r="A42" s="14">
        <v>33</v>
      </c>
      <c r="B42" s="139" t="s">
        <v>395</v>
      </c>
      <c r="C42" s="43" t="s">
        <v>20</v>
      </c>
      <c r="D42" s="169" t="s">
        <v>54</v>
      </c>
      <c r="E42" s="211">
        <v>2400</v>
      </c>
      <c r="F42" s="190">
        <v>1200</v>
      </c>
      <c r="G42" s="45"/>
      <c r="H42" s="45"/>
      <c r="I42" s="44"/>
      <c r="J42" s="45"/>
      <c r="K42" s="45"/>
      <c r="L42" s="44"/>
      <c r="M42" s="45"/>
      <c r="N42" s="45"/>
      <c r="O42" s="44">
        <v>1200</v>
      </c>
    </row>
    <row r="43" spans="1:16" x14ac:dyDescent="0.35">
      <c r="A43" s="14">
        <v>34</v>
      </c>
      <c r="B43" s="139" t="s">
        <v>391</v>
      </c>
      <c r="C43" s="43" t="s">
        <v>20</v>
      </c>
      <c r="D43" s="169" t="s">
        <v>54</v>
      </c>
      <c r="E43" s="211">
        <v>2400</v>
      </c>
      <c r="F43" s="190">
        <v>1200</v>
      </c>
      <c r="G43" s="45"/>
      <c r="H43" s="45"/>
      <c r="I43" s="45"/>
      <c r="J43" s="45"/>
      <c r="K43" s="45"/>
      <c r="L43" s="45"/>
      <c r="M43" s="45"/>
      <c r="N43" s="45"/>
      <c r="O43" s="44">
        <f>2400-(F43+I43+L43)</f>
        <v>1200</v>
      </c>
    </row>
    <row r="44" spans="1:16" x14ac:dyDescent="0.35">
      <c r="A44" s="14">
        <v>35</v>
      </c>
      <c r="B44" s="139" t="s">
        <v>393</v>
      </c>
      <c r="C44" s="43" t="s">
        <v>20</v>
      </c>
      <c r="D44" s="169" t="s">
        <v>54</v>
      </c>
      <c r="E44" s="211">
        <v>2400</v>
      </c>
      <c r="F44" s="190">
        <v>1600</v>
      </c>
      <c r="G44" s="45"/>
      <c r="H44" s="45"/>
      <c r="I44" s="45"/>
      <c r="J44" s="45"/>
      <c r="K44" s="45"/>
      <c r="L44" s="45"/>
      <c r="M44" s="45"/>
      <c r="N44" s="45"/>
      <c r="O44" s="44">
        <f>2400-(F44+I44+L44)</f>
        <v>800</v>
      </c>
    </row>
    <row r="45" spans="1:16" x14ac:dyDescent="0.35">
      <c r="A45" s="14">
        <v>36</v>
      </c>
      <c r="B45" s="139" t="s">
        <v>394</v>
      </c>
      <c r="C45" s="43" t="s">
        <v>20</v>
      </c>
      <c r="D45" s="169" t="s">
        <v>54</v>
      </c>
      <c r="E45" s="211">
        <v>2400</v>
      </c>
      <c r="F45" s="190">
        <v>1200</v>
      </c>
      <c r="G45" s="45"/>
      <c r="H45" s="45"/>
      <c r="I45" s="45"/>
      <c r="J45" s="45"/>
      <c r="K45" s="45"/>
      <c r="L45" s="45"/>
      <c r="M45" s="45"/>
      <c r="N45" s="45"/>
      <c r="O45" s="44">
        <f>2400-(F45+I45+L45)</f>
        <v>1200</v>
      </c>
    </row>
    <row r="46" spans="1:16" ht="15" thickBot="1" x14ac:dyDescent="0.4">
      <c r="A46" s="14">
        <v>37</v>
      </c>
      <c r="B46" s="252" t="s">
        <v>416</v>
      </c>
      <c r="C46" s="223" t="s">
        <v>20</v>
      </c>
      <c r="D46" s="224" t="s">
        <v>54</v>
      </c>
      <c r="E46" s="225">
        <v>2400</v>
      </c>
      <c r="F46" s="226">
        <v>1200</v>
      </c>
      <c r="G46" s="227"/>
      <c r="H46" s="227"/>
      <c r="I46" s="227"/>
      <c r="J46" s="227"/>
      <c r="K46" s="227"/>
      <c r="L46" s="227"/>
      <c r="M46" s="227"/>
      <c r="N46" s="228"/>
      <c r="O46" s="229">
        <v>1200</v>
      </c>
      <c r="P46" s="230"/>
    </row>
    <row r="47" spans="1:16" ht="15" thickBot="1" x14ac:dyDescent="0.4">
      <c r="A47" s="14"/>
      <c r="B47" s="89"/>
      <c r="C47" s="52"/>
      <c r="D47" s="53"/>
      <c r="E47" s="160"/>
      <c r="F47" s="231">
        <f>SUM(F33:F46)</f>
        <v>17850</v>
      </c>
      <c r="G47" s="55"/>
      <c r="H47" s="55"/>
      <c r="I47" s="56"/>
      <c r="J47" s="56"/>
      <c r="K47" s="56"/>
      <c r="L47" s="56"/>
      <c r="M47" s="88"/>
      <c r="N47" s="5"/>
      <c r="O47" s="47">
        <f>SUM(O33:O46)</f>
        <v>14750</v>
      </c>
    </row>
    <row r="48" spans="1:16" ht="15" thickBot="1" x14ac:dyDescent="0.4">
      <c r="A48" s="14"/>
      <c r="B48" s="253" t="s">
        <v>27</v>
      </c>
      <c r="C48" s="63"/>
      <c r="D48" s="171"/>
      <c r="E48" s="213"/>
      <c r="F48" s="193"/>
      <c r="G48" s="64"/>
      <c r="H48" s="64"/>
      <c r="I48" s="64"/>
      <c r="J48" s="64"/>
      <c r="K48" s="64"/>
      <c r="L48" s="64"/>
      <c r="M48" s="64"/>
      <c r="N48" s="64"/>
      <c r="O48" s="65"/>
    </row>
    <row r="49" spans="1:15" x14ac:dyDescent="0.35">
      <c r="A49" s="14">
        <v>38</v>
      </c>
      <c r="B49" s="139" t="s">
        <v>368</v>
      </c>
      <c r="C49" s="43" t="s">
        <v>20</v>
      </c>
      <c r="D49" s="169" t="s">
        <v>54</v>
      </c>
      <c r="E49" s="211">
        <v>2400</v>
      </c>
      <c r="F49" s="190">
        <v>1200</v>
      </c>
      <c r="G49" s="45"/>
      <c r="H49" s="45"/>
      <c r="I49" s="45"/>
      <c r="J49" s="45"/>
      <c r="K49" s="45"/>
      <c r="L49" s="45"/>
      <c r="M49" s="45"/>
      <c r="N49" s="45"/>
      <c r="O49" s="44">
        <f>2400-(F49+I49+L49)</f>
        <v>1200</v>
      </c>
    </row>
    <row r="50" spans="1:15" x14ac:dyDescent="0.35">
      <c r="A50" s="14">
        <v>39</v>
      </c>
      <c r="B50" s="139" t="s">
        <v>369</v>
      </c>
      <c r="C50" s="43" t="s">
        <v>20</v>
      </c>
      <c r="D50" s="169" t="s">
        <v>54</v>
      </c>
      <c r="E50" s="211">
        <v>2400</v>
      </c>
      <c r="F50" s="190"/>
      <c r="G50" s="45"/>
      <c r="H50" s="45"/>
      <c r="I50" s="45"/>
      <c r="J50" s="45"/>
      <c r="K50" s="45"/>
      <c r="L50" s="45"/>
      <c r="M50" s="45"/>
      <c r="N50" s="45"/>
      <c r="O50" s="44">
        <f>2400-(F50+I50+L50)</f>
        <v>2400</v>
      </c>
    </row>
    <row r="51" spans="1:15" x14ac:dyDescent="0.35">
      <c r="A51" s="14">
        <v>40</v>
      </c>
      <c r="B51" s="139" t="s">
        <v>375</v>
      </c>
      <c r="C51" s="43" t="s">
        <v>20</v>
      </c>
      <c r="D51" s="169" t="s">
        <v>21</v>
      </c>
      <c r="E51" s="211">
        <v>2400</v>
      </c>
      <c r="F51" s="190">
        <v>1200</v>
      </c>
      <c r="G51" s="45"/>
      <c r="H51" s="45"/>
      <c r="I51" s="45"/>
      <c r="J51" s="45"/>
      <c r="K51" s="45"/>
      <c r="L51" s="45"/>
      <c r="M51" s="45"/>
      <c r="N51" s="45"/>
      <c r="O51" s="44">
        <f>2400-(F51+I51+L51)</f>
        <v>1200</v>
      </c>
    </row>
    <row r="52" spans="1:15" x14ac:dyDescent="0.35">
      <c r="A52" s="14">
        <v>41</v>
      </c>
      <c r="B52" s="139" t="s">
        <v>157</v>
      </c>
      <c r="C52" s="43" t="s">
        <v>22</v>
      </c>
      <c r="D52" s="169" t="s">
        <v>54</v>
      </c>
      <c r="E52" s="211">
        <v>2400</v>
      </c>
      <c r="F52" s="190">
        <v>1200</v>
      </c>
      <c r="G52" s="45"/>
      <c r="H52" s="45"/>
      <c r="I52" s="45"/>
      <c r="J52" s="45"/>
      <c r="K52" s="45"/>
      <c r="L52" s="45"/>
      <c r="M52" s="45"/>
      <c r="N52" s="45"/>
      <c r="O52" s="44">
        <f>2400-(F52+I52+L52)</f>
        <v>1200</v>
      </c>
    </row>
    <row r="53" spans="1:15" ht="15" thickBot="1" x14ac:dyDescent="0.4">
      <c r="A53" s="14">
        <v>42</v>
      </c>
      <c r="B53" s="139" t="s">
        <v>125</v>
      </c>
      <c r="C53" s="43" t="s">
        <v>22</v>
      </c>
      <c r="D53" s="169"/>
      <c r="E53" s="211">
        <v>2400</v>
      </c>
      <c r="F53" s="190">
        <v>1700</v>
      </c>
      <c r="G53" s="45"/>
      <c r="H53" s="45"/>
      <c r="I53" s="45"/>
      <c r="J53" s="45"/>
      <c r="K53" s="45"/>
      <c r="L53" s="45"/>
      <c r="M53" s="45"/>
      <c r="N53" s="45"/>
      <c r="O53" s="44">
        <f>2400-(F53+I53+L53)</f>
        <v>700</v>
      </c>
    </row>
    <row r="54" spans="1:15" ht="15" thickBot="1" x14ac:dyDescent="0.4">
      <c r="A54" s="14"/>
      <c r="B54" s="49"/>
      <c r="C54" s="14"/>
      <c r="D54" s="17"/>
      <c r="E54" s="160"/>
      <c r="F54" s="194">
        <f>SUM(F49:F53)</f>
        <v>5300</v>
      </c>
      <c r="G54" s="9"/>
      <c r="H54" s="9"/>
      <c r="I54" s="7"/>
      <c r="J54" s="7"/>
      <c r="K54" s="7"/>
      <c r="L54" s="7"/>
      <c r="M54" s="16"/>
      <c r="N54" s="5"/>
      <c r="O54" s="47">
        <f>SUM(O49:O53)</f>
        <v>6700</v>
      </c>
    </row>
    <row r="55" spans="1:15" x14ac:dyDescent="0.35">
      <c r="A55" s="14"/>
      <c r="B55" s="254" t="s">
        <v>28</v>
      </c>
      <c r="C55" s="18"/>
      <c r="D55" s="172"/>
      <c r="E55" s="214"/>
      <c r="F55" s="195"/>
      <c r="G55" s="19"/>
      <c r="H55" s="19"/>
      <c r="I55" s="19"/>
      <c r="J55" s="19"/>
      <c r="K55" s="19"/>
      <c r="L55" s="19"/>
      <c r="M55" s="19"/>
      <c r="N55" s="66"/>
      <c r="O55" s="91"/>
    </row>
    <row r="56" spans="1:15" x14ac:dyDescent="0.35">
      <c r="A56" s="14">
        <v>43</v>
      </c>
      <c r="B56" s="139" t="s">
        <v>297</v>
      </c>
      <c r="C56" s="43" t="s">
        <v>20</v>
      </c>
      <c r="D56" s="169" t="s">
        <v>54</v>
      </c>
      <c r="E56" s="211">
        <v>2400</v>
      </c>
      <c r="F56" s="190">
        <v>1200</v>
      </c>
      <c r="G56" s="45"/>
      <c r="H56" s="45"/>
      <c r="I56" s="45"/>
      <c r="J56" s="45"/>
      <c r="K56" s="45"/>
      <c r="L56" s="45"/>
      <c r="M56" s="45"/>
      <c r="N56" s="45"/>
      <c r="O56" s="44">
        <f t="shared" ref="O56:O65" si="2">2400-(F56+I56+L56)</f>
        <v>1200</v>
      </c>
    </row>
    <row r="57" spans="1:15" x14ac:dyDescent="0.35">
      <c r="A57" s="14">
        <v>44</v>
      </c>
      <c r="B57" s="139" t="s">
        <v>298</v>
      </c>
      <c r="C57" s="43" t="s">
        <v>20</v>
      </c>
      <c r="D57" s="169" t="s">
        <v>54</v>
      </c>
      <c r="E57" s="211">
        <v>2400</v>
      </c>
      <c r="F57" s="190">
        <v>1200</v>
      </c>
      <c r="G57" s="45"/>
      <c r="H57" s="45"/>
      <c r="I57" s="45"/>
      <c r="J57" s="45"/>
      <c r="K57" s="45"/>
      <c r="L57" s="45"/>
      <c r="M57" s="45"/>
      <c r="N57" s="45"/>
      <c r="O57" s="44">
        <f t="shared" si="2"/>
        <v>1200</v>
      </c>
    </row>
    <row r="58" spans="1:15" x14ac:dyDescent="0.35">
      <c r="A58" s="14">
        <v>45</v>
      </c>
      <c r="B58" s="139" t="s">
        <v>299</v>
      </c>
      <c r="C58" s="43" t="s">
        <v>20</v>
      </c>
      <c r="D58" s="169" t="s">
        <v>54</v>
      </c>
      <c r="E58" s="211">
        <v>2400</v>
      </c>
      <c r="F58" s="190">
        <v>1220</v>
      </c>
      <c r="G58" s="45"/>
      <c r="H58" s="45"/>
      <c r="I58" s="45"/>
      <c r="J58" s="45"/>
      <c r="K58" s="45"/>
      <c r="L58" s="45"/>
      <c r="M58" s="45"/>
      <c r="N58" s="45"/>
      <c r="O58" s="44">
        <f t="shared" si="2"/>
        <v>1180</v>
      </c>
    </row>
    <row r="59" spans="1:15" x14ac:dyDescent="0.35">
      <c r="A59" s="14">
        <v>46</v>
      </c>
      <c r="B59" s="139" t="s">
        <v>173</v>
      </c>
      <c r="C59" s="43" t="s">
        <v>20</v>
      </c>
      <c r="D59" s="169" t="s">
        <v>54</v>
      </c>
      <c r="E59" s="211">
        <v>2400</v>
      </c>
      <c r="F59" s="190"/>
      <c r="G59" s="45"/>
      <c r="H59" s="45"/>
      <c r="I59" s="45"/>
      <c r="J59" s="45"/>
      <c r="K59" s="45"/>
      <c r="L59" s="45"/>
      <c r="M59" s="45"/>
      <c r="N59" s="45"/>
      <c r="O59" s="44">
        <f t="shared" si="2"/>
        <v>2400</v>
      </c>
    </row>
    <row r="60" spans="1:15" x14ac:dyDescent="0.35">
      <c r="A60" s="14">
        <v>47</v>
      </c>
      <c r="B60" s="139" t="s">
        <v>301</v>
      </c>
      <c r="C60" s="43" t="s">
        <v>20</v>
      </c>
      <c r="D60" s="169" t="s">
        <v>54</v>
      </c>
      <c r="E60" s="211">
        <v>2400</v>
      </c>
      <c r="F60" s="190"/>
      <c r="G60" s="45"/>
      <c r="H60" s="45"/>
      <c r="I60" s="45"/>
      <c r="J60" s="45"/>
      <c r="K60" s="45"/>
      <c r="L60" s="45"/>
      <c r="M60" s="45"/>
      <c r="N60" s="45"/>
      <c r="O60" s="44">
        <f t="shared" si="2"/>
        <v>2400</v>
      </c>
    </row>
    <row r="61" spans="1:15" x14ac:dyDescent="0.35">
      <c r="A61" s="14">
        <v>48</v>
      </c>
      <c r="B61" s="139" t="s">
        <v>415</v>
      </c>
      <c r="C61" s="43" t="s">
        <v>20</v>
      </c>
      <c r="D61" s="169" t="s">
        <v>54</v>
      </c>
      <c r="E61" s="211">
        <v>2400</v>
      </c>
      <c r="F61" s="190">
        <v>1200</v>
      </c>
      <c r="G61" s="45"/>
      <c r="H61" s="45"/>
      <c r="I61" s="45"/>
      <c r="J61" s="45"/>
      <c r="K61" s="45"/>
      <c r="L61" s="45"/>
      <c r="M61" s="45"/>
      <c r="N61" s="45"/>
      <c r="O61" s="44">
        <f t="shared" si="2"/>
        <v>1200</v>
      </c>
    </row>
    <row r="62" spans="1:15" x14ac:dyDescent="0.35">
      <c r="A62" s="14">
        <v>49</v>
      </c>
      <c r="B62" s="139" t="s">
        <v>424</v>
      </c>
      <c r="C62" s="43" t="s">
        <v>20</v>
      </c>
      <c r="D62" s="169" t="s">
        <v>21</v>
      </c>
      <c r="E62" s="211">
        <v>2400</v>
      </c>
      <c r="F62" s="190">
        <v>1200</v>
      </c>
      <c r="G62" s="45"/>
      <c r="H62" s="45"/>
      <c r="I62" s="45"/>
      <c r="J62" s="45"/>
      <c r="K62" s="45"/>
      <c r="L62" s="45"/>
      <c r="M62" s="45"/>
      <c r="N62" s="45"/>
      <c r="O62" s="44">
        <f t="shared" si="2"/>
        <v>1200</v>
      </c>
    </row>
    <row r="63" spans="1:15" x14ac:dyDescent="0.35">
      <c r="A63" s="14">
        <v>50</v>
      </c>
      <c r="B63" s="139" t="s">
        <v>419</v>
      </c>
      <c r="C63" s="43" t="s">
        <v>20</v>
      </c>
      <c r="D63" s="169" t="s">
        <v>21</v>
      </c>
      <c r="E63" s="211">
        <v>2400</v>
      </c>
      <c r="F63" s="190">
        <v>1200</v>
      </c>
      <c r="G63" s="45"/>
      <c r="H63" s="45"/>
      <c r="I63" s="45"/>
      <c r="J63" s="45"/>
      <c r="K63" s="45"/>
      <c r="L63" s="45"/>
      <c r="M63" s="45"/>
      <c r="N63" s="45"/>
      <c r="O63" s="44">
        <f t="shared" si="2"/>
        <v>1200</v>
      </c>
    </row>
    <row r="64" spans="1:15" x14ac:dyDescent="0.35">
      <c r="A64" s="14">
        <v>51</v>
      </c>
      <c r="B64" s="139" t="s">
        <v>132</v>
      </c>
      <c r="C64" s="43" t="s">
        <v>22</v>
      </c>
      <c r="D64" s="169" t="s">
        <v>54</v>
      </c>
      <c r="E64" s="211">
        <v>2400</v>
      </c>
      <c r="F64" s="190">
        <v>1200</v>
      </c>
      <c r="G64" s="45"/>
      <c r="H64" s="45"/>
      <c r="I64" s="45"/>
      <c r="J64" s="45"/>
      <c r="K64" s="45"/>
      <c r="L64" s="45"/>
      <c r="M64" s="45"/>
      <c r="N64" s="45"/>
      <c r="O64" s="44">
        <f t="shared" si="2"/>
        <v>1200</v>
      </c>
    </row>
    <row r="65" spans="1:15" x14ac:dyDescent="0.35">
      <c r="A65" s="14">
        <v>52</v>
      </c>
      <c r="B65" s="139" t="s">
        <v>306</v>
      </c>
      <c r="C65" s="43" t="s">
        <v>22</v>
      </c>
      <c r="D65" s="169" t="s">
        <v>54</v>
      </c>
      <c r="E65" s="211">
        <v>2400</v>
      </c>
      <c r="F65" s="190"/>
      <c r="G65" s="45"/>
      <c r="H65" s="45"/>
      <c r="I65" s="45"/>
      <c r="J65" s="45"/>
      <c r="K65" s="45"/>
      <c r="L65" s="45"/>
      <c r="M65" s="45"/>
      <c r="N65" s="45"/>
      <c r="O65" s="44">
        <f t="shared" si="2"/>
        <v>2400</v>
      </c>
    </row>
    <row r="66" spans="1:15" x14ac:dyDescent="0.35">
      <c r="A66" s="14">
        <v>53</v>
      </c>
      <c r="B66" s="139" t="s">
        <v>420</v>
      </c>
      <c r="C66" s="43" t="s">
        <v>22</v>
      </c>
      <c r="D66" s="169" t="s">
        <v>54</v>
      </c>
      <c r="E66" s="211">
        <v>2160</v>
      </c>
      <c r="F66" s="190">
        <v>1850</v>
      </c>
      <c r="G66" s="45"/>
      <c r="H66" s="45"/>
      <c r="I66" s="45"/>
      <c r="J66" s="45"/>
      <c r="K66" s="45"/>
      <c r="L66" s="45"/>
      <c r="M66" s="45"/>
      <c r="N66" s="45"/>
      <c r="O66" s="44">
        <v>550</v>
      </c>
    </row>
    <row r="67" spans="1:15" ht="15" thickBot="1" x14ac:dyDescent="0.4">
      <c r="A67" s="14">
        <v>54</v>
      </c>
      <c r="B67" s="139" t="s">
        <v>423</v>
      </c>
      <c r="C67" s="43" t="s">
        <v>22</v>
      </c>
      <c r="D67" s="169" t="s">
        <v>21</v>
      </c>
      <c r="E67" s="211">
        <v>2400</v>
      </c>
      <c r="F67" s="190">
        <v>1200</v>
      </c>
      <c r="G67" s="45"/>
      <c r="H67" s="45"/>
      <c r="I67" s="45"/>
      <c r="J67" s="45"/>
      <c r="K67" s="45"/>
      <c r="L67" s="45"/>
      <c r="M67" s="45"/>
      <c r="N67" s="45"/>
      <c r="O67" s="44">
        <v>1200</v>
      </c>
    </row>
    <row r="68" spans="1:15" ht="15" thickBot="1" x14ac:dyDescent="0.4">
      <c r="A68" s="14"/>
      <c r="B68" s="49"/>
      <c r="C68" s="14"/>
      <c r="D68" s="17"/>
      <c r="E68" s="160"/>
      <c r="F68" s="196">
        <f>SUM(F56:F67)</f>
        <v>11470</v>
      </c>
      <c r="G68" s="7"/>
      <c r="H68" s="7"/>
      <c r="I68" s="7"/>
      <c r="J68" s="7"/>
      <c r="K68" s="7"/>
      <c r="L68" s="7"/>
      <c r="M68" s="16"/>
      <c r="N68" s="5"/>
      <c r="O68" s="47">
        <f>SUM(O56:O67)</f>
        <v>17330</v>
      </c>
    </row>
    <row r="69" spans="1:15" x14ac:dyDescent="0.35">
      <c r="A69" s="14"/>
      <c r="B69" s="256" t="s">
        <v>29</v>
      </c>
      <c r="C69" s="15"/>
      <c r="D69" s="173"/>
      <c r="E69" s="215"/>
      <c r="F69" s="197"/>
      <c r="G69" s="21"/>
      <c r="H69" s="21"/>
      <c r="I69" s="21"/>
      <c r="J69" s="21"/>
      <c r="K69" s="21"/>
      <c r="L69" s="21"/>
      <c r="M69" s="21"/>
      <c r="N69" s="177"/>
      <c r="O69" s="90"/>
    </row>
    <row r="70" spans="1:15" x14ac:dyDescent="0.35">
      <c r="A70" s="14">
        <v>55</v>
      </c>
      <c r="B70" s="139" t="s">
        <v>337</v>
      </c>
      <c r="C70" s="43" t="s">
        <v>20</v>
      </c>
      <c r="D70" s="169" t="s">
        <v>54</v>
      </c>
      <c r="E70" s="211">
        <v>2400</v>
      </c>
      <c r="F70" s="190">
        <v>1200</v>
      </c>
      <c r="G70" s="45"/>
      <c r="H70" s="45"/>
      <c r="I70" s="44"/>
      <c r="J70" s="45"/>
      <c r="K70" s="45"/>
      <c r="L70" s="45"/>
      <c r="M70" s="45"/>
      <c r="N70" s="45"/>
      <c r="O70" s="44">
        <f>2400-(F70+I70+L70)</f>
        <v>1200</v>
      </c>
    </row>
    <row r="71" spans="1:15" x14ac:dyDescent="0.35">
      <c r="A71" s="14">
        <v>56</v>
      </c>
      <c r="B71" s="139" t="s">
        <v>343</v>
      </c>
      <c r="C71" s="43" t="s">
        <v>22</v>
      </c>
      <c r="D71" s="169" t="s">
        <v>54</v>
      </c>
      <c r="E71" s="211">
        <v>2400</v>
      </c>
      <c r="F71" s="190">
        <v>1500</v>
      </c>
      <c r="G71" s="45"/>
      <c r="H71" s="45"/>
      <c r="I71" s="45"/>
      <c r="J71" s="45"/>
      <c r="K71" s="45"/>
      <c r="L71" s="45"/>
      <c r="M71" s="45"/>
      <c r="N71" s="45"/>
      <c r="O71" s="44">
        <f>2400-(F71+I71+L71)</f>
        <v>900</v>
      </c>
    </row>
    <row r="72" spans="1:15" x14ac:dyDescent="0.35">
      <c r="A72" s="14">
        <v>57</v>
      </c>
      <c r="B72" s="139" t="s">
        <v>338</v>
      </c>
      <c r="C72" s="43" t="s">
        <v>22</v>
      </c>
      <c r="D72" s="169" t="s">
        <v>54</v>
      </c>
      <c r="E72" s="211">
        <v>2400</v>
      </c>
      <c r="F72" s="190">
        <v>1200</v>
      </c>
      <c r="G72" s="45"/>
      <c r="H72" s="44"/>
      <c r="I72" s="44">
        <v>1000</v>
      </c>
      <c r="J72" s="45"/>
      <c r="K72" s="45"/>
      <c r="L72" s="45"/>
      <c r="M72" s="45"/>
      <c r="N72" s="45"/>
      <c r="O72" s="44">
        <v>200</v>
      </c>
    </row>
    <row r="73" spans="1:15" x14ac:dyDescent="0.35">
      <c r="A73" s="14">
        <v>58</v>
      </c>
      <c r="B73" s="139" t="s">
        <v>339</v>
      </c>
      <c r="C73" s="43" t="s">
        <v>22</v>
      </c>
      <c r="D73" s="169" t="s">
        <v>54</v>
      </c>
      <c r="E73" s="211">
        <v>2400</v>
      </c>
      <c r="F73" s="190"/>
      <c r="G73" s="45"/>
      <c r="H73" s="45"/>
      <c r="I73" s="45"/>
      <c r="J73" s="45"/>
      <c r="K73" s="45"/>
      <c r="L73" s="45"/>
      <c r="M73" s="45"/>
      <c r="N73" s="45"/>
      <c r="O73" s="44">
        <f>2400-(F73+I73+L73)</f>
        <v>2400</v>
      </c>
    </row>
    <row r="74" spans="1:15" x14ac:dyDescent="0.35">
      <c r="A74" s="14">
        <v>59</v>
      </c>
      <c r="B74" s="139" t="s">
        <v>340</v>
      </c>
      <c r="C74" s="43" t="s">
        <v>22</v>
      </c>
      <c r="D74" s="169" t="s">
        <v>54</v>
      </c>
      <c r="E74" s="211">
        <v>2400</v>
      </c>
      <c r="F74" s="190">
        <v>1200</v>
      </c>
      <c r="G74" s="45"/>
      <c r="H74" s="45"/>
      <c r="I74" s="45"/>
      <c r="J74" s="45"/>
      <c r="K74" s="45"/>
      <c r="L74" s="45"/>
      <c r="M74" s="45"/>
      <c r="N74" s="45"/>
      <c r="O74" s="44">
        <f>2400-(F74+I74+L74)</f>
        <v>1200</v>
      </c>
    </row>
    <row r="75" spans="1:15" ht="15" thickBot="1" x14ac:dyDescent="0.4">
      <c r="A75" s="14">
        <v>60</v>
      </c>
      <c r="B75" s="139" t="s">
        <v>342</v>
      </c>
      <c r="C75" s="43" t="s">
        <v>22</v>
      </c>
      <c r="D75" s="169" t="s">
        <v>54</v>
      </c>
      <c r="E75" s="211">
        <v>2400</v>
      </c>
      <c r="F75" s="190">
        <v>1200</v>
      </c>
      <c r="G75" s="45"/>
      <c r="H75" s="45"/>
      <c r="I75" s="45"/>
      <c r="J75" s="45"/>
      <c r="K75" s="45"/>
      <c r="L75" s="45"/>
      <c r="M75" s="45"/>
      <c r="N75" s="45"/>
      <c r="O75" s="44">
        <f>2400-(F75+I75+L75)</f>
        <v>1200</v>
      </c>
    </row>
    <row r="76" spans="1:15" ht="15" thickBot="1" x14ac:dyDescent="0.4">
      <c r="A76" s="14"/>
      <c r="B76" s="89"/>
      <c r="C76" s="52"/>
      <c r="D76" s="53"/>
      <c r="E76" s="160"/>
      <c r="F76" s="198">
        <f>SUM(F70:F75)</f>
        <v>6300</v>
      </c>
      <c r="G76" s="56"/>
      <c r="H76" s="56"/>
      <c r="I76" s="56"/>
      <c r="J76" s="56"/>
      <c r="K76" s="56"/>
      <c r="L76" s="56"/>
      <c r="M76" s="88"/>
      <c r="N76" s="5"/>
      <c r="O76" s="47">
        <f>SUM(O70:O75)</f>
        <v>7100</v>
      </c>
    </row>
    <row r="77" spans="1:15" ht="15" thickBot="1" x14ac:dyDescent="0.4">
      <c r="A77" s="14"/>
      <c r="B77" s="257" t="s">
        <v>30</v>
      </c>
      <c r="C77" s="71"/>
      <c r="D77" s="174"/>
      <c r="E77" s="216"/>
      <c r="F77" s="199"/>
      <c r="G77" s="73"/>
      <c r="H77" s="73"/>
      <c r="I77" s="73"/>
      <c r="J77" s="73"/>
      <c r="K77" s="73"/>
      <c r="L77" s="73"/>
      <c r="M77" s="73"/>
      <c r="N77" s="73"/>
      <c r="O77" s="72"/>
    </row>
    <row r="78" spans="1:15" x14ac:dyDescent="0.35">
      <c r="A78" s="14">
        <v>61</v>
      </c>
      <c r="B78" s="139" t="s">
        <v>121</v>
      </c>
      <c r="C78" s="43" t="s">
        <v>20</v>
      </c>
      <c r="D78" s="169" t="s">
        <v>54</v>
      </c>
      <c r="E78" s="211">
        <v>2400</v>
      </c>
      <c r="F78" s="190">
        <v>1200</v>
      </c>
      <c r="G78" s="45"/>
      <c r="H78" s="45"/>
      <c r="I78" s="45"/>
      <c r="J78" s="45"/>
      <c r="K78" s="45"/>
      <c r="L78" s="45"/>
      <c r="M78" s="45"/>
      <c r="N78" s="45"/>
      <c r="O78" s="44">
        <f>2400-(F78+I78+L78)</f>
        <v>1200</v>
      </c>
    </row>
    <row r="79" spans="1:15" x14ac:dyDescent="0.35">
      <c r="A79" s="14">
        <v>62</v>
      </c>
      <c r="B79" s="139" t="s">
        <v>407</v>
      </c>
      <c r="C79" s="43" t="s">
        <v>22</v>
      </c>
      <c r="D79" s="169" t="s">
        <v>54</v>
      </c>
      <c r="E79" s="211">
        <v>2400</v>
      </c>
      <c r="F79" s="190">
        <v>1200</v>
      </c>
      <c r="G79" s="45"/>
      <c r="H79" s="45"/>
      <c r="I79" s="45"/>
      <c r="J79" s="45"/>
      <c r="K79" s="45"/>
      <c r="L79" s="45"/>
      <c r="M79" s="45"/>
      <c r="N79" s="45"/>
      <c r="O79" s="44">
        <f>2400-(F79+I79+L79)</f>
        <v>1200</v>
      </c>
    </row>
    <row r="80" spans="1:15" x14ac:dyDescent="0.35">
      <c r="A80" s="14">
        <v>63</v>
      </c>
      <c r="B80" s="139" t="s">
        <v>59</v>
      </c>
      <c r="C80" s="43" t="s">
        <v>22</v>
      </c>
      <c r="D80" s="169" t="s">
        <v>54</v>
      </c>
      <c r="E80" s="211">
        <v>2400</v>
      </c>
      <c r="F80" s="190">
        <v>1200</v>
      </c>
      <c r="G80" s="45"/>
      <c r="H80" s="45"/>
      <c r="I80" s="44"/>
      <c r="J80" s="45"/>
      <c r="K80" s="45"/>
      <c r="L80" s="45"/>
      <c r="M80" s="45"/>
      <c r="N80" s="45"/>
      <c r="O80" s="44">
        <f>2400-(F80+I80+L80)</f>
        <v>1200</v>
      </c>
    </row>
    <row r="81" spans="1:15" ht="15" thickBot="1" x14ac:dyDescent="0.4">
      <c r="A81" s="14">
        <v>64</v>
      </c>
      <c r="B81" s="139" t="s">
        <v>422</v>
      </c>
      <c r="C81" s="43" t="s">
        <v>22</v>
      </c>
      <c r="D81" s="169" t="s">
        <v>54</v>
      </c>
      <c r="E81" s="211">
        <v>2400</v>
      </c>
      <c r="F81" s="190"/>
      <c r="G81" s="45"/>
      <c r="H81" s="45"/>
      <c r="I81" s="45"/>
      <c r="J81" s="45"/>
      <c r="K81" s="45"/>
      <c r="L81" s="45"/>
      <c r="M81" s="45"/>
      <c r="N81" s="45"/>
      <c r="O81" s="44">
        <f>2400-(F81+I81+L81)</f>
        <v>2400</v>
      </c>
    </row>
    <row r="82" spans="1:15" ht="15" thickBot="1" x14ac:dyDescent="0.4">
      <c r="A82" s="14"/>
      <c r="B82" s="89"/>
      <c r="C82" s="52"/>
      <c r="D82" s="53"/>
      <c r="E82" s="160"/>
      <c r="F82" s="200">
        <f>SUM(F78:F81)</f>
        <v>3600</v>
      </c>
      <c r="G82" s="55"/>
      <c r="H82" s="55"/>
      <c r="I82" s="56"/>
      <c r="J82" s="56"/>
      <c r="K82" s="56"/>
      <c r="L82" s="56"/>
      <c r="M82" s="88"/>
      <c r="N82" s="5"/>
      <c r="O82" s="47">
        <f>SUM(O78:O81)</f>
        <v>6000</v>
      </c>
    </row>
    <row r="83" spans="1:15" ht="15" thickBot="1" x14ac:dyDescent="0.4">
      <c r="A83" s="14"/>
      <c r="B83" s="258" t="s">
        <v>31</v>
      </c>
      <c r="C83" s="75"/>
      <c r="D83" s="175"/>
      <c r="E83" s="217"/>
      <c r="F83" s="201"/>
      <c r="G83" s="77"/>
      <c r="H83" s="77"/>
      <c r="I83" s="77"/>
      <c r="J83" s="77"/>
      <c r="K83" s="77"/>
      <c r="L83" s="77"/>
      <c r="M83" s="77"/>
      <c r="N83" s="77"/>
      <c r="O83" s="76"/>
    </row>
    <row r="84" spans="1:15" x14ac:dyDescent="0.35">
      <c r="A84" s="14">
        <v>65</v>
      </c>
      <c r="B84" s="139" t="s">
        <v>354</v>
      </c>
      <c r="C84" s="43" t="s">
        <v>20</v>
      </c>
      <c r="D84" s="169" t="s">
        <v>54</v>
      </c>
      <c r="E84" s="211">
        <v>2400</v>
      </c>
      <c r="F84" s="190">
        <v>1500</v>
      </c>
      <c r="G84" s="45"/>
      <c r="H84" s="45"/>
      <c r="I84" s="45"/>
      <c r="J84" s="45"/>
      <c r="K84" s="45"/>
      <c r="L84" s="45"/>
      <c r="M84" s="45"/>
      <c r="N84" s="45"/>
      <c r="O84" s="44">
        <f t="shared" ref="O84:O89" si="3">2400-(F84+I84+L84)</f>
        <v>900</v>
      </c>
    </row>
    <row r="85" spans="1:15" x14ac:dyDescent="0.35">
      <c r="A85" s="14">
        <v>66</v>
      </c>
      <c r="B85" s="139" t="s">
        <v>355</v>
      </c>
      <c r="C85" s="43" t="s">
        <v>20</v>
      </c>
      <c r="D85" s="169" t="s">
        <v>54</v>
      </c>
      <c r="E85" s="211">
        <v>2400</v>
      </c>
      <c r="F85" s="190"/>
      <c r="G85" s="45"/>
      <c r="H85" s="45"/>
      <c r="I85" s="45"/>
      <c r="J85" s="45"/>
      <c r="K85" s="45"/>
      <c r="L85" s="45"/>
      <c r="M85" s="45"/>
      <c r="N85" s="45"/>
      <c r="O85" s="44">
        <f t="shared" si="3"/>
        <v>2400</v>
      </c>
    </row>
    <row r="86" spans="1:15" x14ac:dyDescent="0.35">
      <c r="A86" s="14">
        <v>67</v>
      </c>
      <c r="B86" s="139" t="s">
        <v>356</v>
      </c>
      <c r="C86" s="43" t="s">
        <v>20</v>
      </c>
      <c r="D86" s="169" t="s">
        <v>54</v>
      </c>
      <c r="E86" s="211">
        <v>2400</v>
      </c>
      <c r="F86" s="190"/>
      <c r="G86" s="45"/>
      <c r="H86" s="45"/>
      <c r="I86" s="45"/>
      <c r="J86" s="45"/>
      <c r="K86" s="45"/>
      <c r="L86" s="45"/>
      <c r="M86" s="45"/>
      <c r="N86" s="45"/>
      <c r="O86" s="44">
        <f t="shared" si="3"/>
        <v>2400</v>
      </c>
    </row>
    <row r="87" spans="1:15" x14ac:dyDescent="0.35">
      <c r="A87" s="14">
        <v>68</v>
      </c>
      <c r="B87" s="139" t="s">
        <v>362</v>
      </c>
      <c r="C87" s="43" t="s">
        <v>22</v>
      </c>
      <c r="D87" s="169" t="s">
        <v>54</v>
      </c>
      <c r="E87" s="211">
        <v>2400</v>
      </c>
      <c r="F87" s="190">
        <v>1200</v>
      </c>
      <c r="G87" s="146"/>
      <c r="H87" s="146"/>
      <c r="I87" s="45"/>
      <c r="J87" s="45"/>
      <c r="K87" s="45"/>
      <c r="L87" s="45"/>
      <c r="M87" s="45"/>
      <c r="N87" s="45"/>
      <c r="O87" s="44">
        <f t="shared" si="3"/>
        <v>1200</v>
      </c>
    </row>
    <row r="88" spans="1:15" x14ac:dyDescent="0.35">
      <c r="A88" s="14">
        <v>69</v>
      </c>
      <c r="B88" s="139" t="s">
        <v>363</v>
      </c>
      <c r="C88" s="43" t="s">
        <v>22</v>
      </c>
      <c r="D88" s="169" t="s">
        <v>54</v>
      </c>
      <c r="E88" s="211">
        <v>2400</v>
      </c>
      <c r="F88" s="190">
        <v>1400</v>
      </c>
      <c r="G88" s="45"/>
      <c r="H88" s="45"/>
      <c r="I88" s="45"/>
      <c r="J88" s="45"/>
      <c r="K88" s="45"/>
      <c r="L88" s="45"/>
      <c r="M88" s="45"/>
      <c r="N88" s="45"/>
      <c r="O88" s="44">
        <f t="shared" si="3"/>
        <v>1000</v>
      </c>
    </row>
    <row r="89" spans="1:15" x14ac:dyDescent="0.35">
      <c r="A89" s="14">
        <v>70</v>
      </c>
      <c r="B89" s="139" t="s">
        <v>364</v>
      </c>
      <c r="C89" s="43" t="s">
        <v>22</v>
      </c>
      <c r="D89" s="169" t="s">
        <v>54</v>
      </c>
      <c r="E89" s="211">
        <v>2400</v>
      </c>
      <c r="F89" s="190">
        <v>1200</v>
      </c>
      <c r="G89" s="45"/>
      <c r="H89" s="45"/>
      <c r="I89" s="45"/>
      <c r="J89" s="45"/>
      <c r="K89" s="45"/>
      <c r="L89" s="45"/>
      <c r="M89" s="45"/>
      <c r="N89" s="45"/>
      <c r="O89" s="44">
        <f t="shared" si="3"/>
        <v>1200</v>
      </c>
    </row>
    <row r="90" spans="1:15" ht="15" thickBot="1" x14ac:dyDescent="0.4">
      <c r="A90" s="14">
        <v>71</v>
      </c>
      <c r="B90" s="139" t="s">
        <v>366</v>
      </c>
      <c r="C90" s="43" t="s">
        <v>22</v>
      </c>
      <c r="D90" s="169" t="s">
        <v>21</v>
      </c>
      <c r="E90" s="211">
        <v>2400</v>
      </c>
      <c r="F90" s="190">
        <v>1200</v>
      </c>
      <c r="G90" s="45"/>
      <c r="H90" s="45"/>
      <c r="I90" s="45"/>
      <c r="J90" s="45"/>
      <c r="K90" s="45"/>
      <c r="L90" s="45"/>
      <c r="M90" s="45"/>
      <c r="N90" s="45"/>
      <c r="O90" s="44">
        <v>1200</v>
      </c>
    </row>
    <row r="91" spans="1:15" ht="15" thickBot="1" x14ac:dyDescent="0.4">
      <c r="A91" s="14"/>
      <c r="B91" s="89"/>
      <c r="C91" s="52"/>
      <c r="D91" s="53"/>
      <c r="E91" s="160"/>
      <c r="F91" s="200">
        <f>SUM(F84:F90)</f>
        <v>6500</v>
      </c>
      <c r="G91" s="55"/>
      <c r="H91" s="55"/>
      <c r="I91" s="56"/>
      <c r="J91" s="56"/>
      <c r="K91" s="56"/>
      <c r="L91" s="56"/>
      <c r="M91" s="88"/>
      <c r="N91" s="5"/>
      <c r="O91" s="47">
        <f>SUM(O84:O90)</f>
        <v>10300</v>
      </c>
    </row>
    <row r="92" spans="1:15" ht="15" thickBot="1" x14ac:dyDescent="0.4">
      <c r="A92" s="14"/>
      <c r="B92" s="259" t="s">
        <v>32</v>
      </c>
      <c r="C92" s="80"/>
      <c r="D92" s="176"/>
      <c r="E92" s="218"/>
      <c r="F92" s="202"/>
      <c r="G92" s="82"/>
      <c r="H92" s="82"/>
      <c r="I92" s="82"/>
      <c r="J92" s="82"/>
      <c r="K92" s="82"/>
      <c r="L92" s="82"/>
      <c r="M92" s="82"/>
      <c r="N92" s="82"/>
      <c r="O92" s="81"/>
    </row>
    <row r="93" spans="1:15" x14ac:dyDescent="0.35">
      <c r="A93" s="14">
        <v>72</v>
      </c>
      <c r="B93" s="139" t="s">
        <v>345</v>
      </c>
      <c r="C93" s="43" t="s">
        <v>20</v>
      </c>
      <c r="D93" s="169" t="s">
        <v>54</v>
      </c>
      <c r="E93" s="211">
        <v>2160</v>
      </c>
      <c r="F93" s="190">
        <v>1500</v>
      </c>
      <c r="G93" s="45"/>
      <c r="H93" s="45"/>
      <c r="I93" s="44"/>
      <c r="J93" s="45"/>
      <c r="K93" s="45"/>
      <c r="L93" s="45"/>
      <c r="M93" s="45"/>
      <c r="N93" s="45"/>
      <c r="O93" s="44">
        <f>2400-(F93+I93+L93)</f>
        <v>900</v>
      </c>
    </row>
    <row r="94" spans="1:15" x14ac:dyDescent="0.35">
      <c r="A94" s="14">
        <v>73</v>
      </c>
      <c r="B94" s="139" t="s">
        <v>347</v>
      </c>
      <c r="C94" s="43" t="s">
        <v>20</v>
      </c>
      <c r="D94" s="169" t="s">
        <v>54</v>
      </c>
      <c r="E94" s="211">
        <v>2400</v>
      </c>
      <c r="F94" s="190">
        <v>2000</v>
      </c>
      <c r="G94" s="45"/>
      <c r="H94" s="45"/>
      <c r="I94" s="44"/>
      <c r="J94" s="45"/>
      <c r="K94" s="45"/>
      <c r="L94" s="45"/>
      <c r="M94" s="45"/>
      <c r="N94" s="45"/>
      <c r="O94" s="44">
        <f>2400-(F94+I94+L94)</f>
        <v>400</v>
      </c>
    </row>
    <row r="95" spans="1:15" x14ac:dyDescent="0.35">
      <c r="A95" s="14">
        <v>74</v>
      </c>
      <c r="B95" s="139" t="s">
        <v>348</v>
      </c>
      <c r="C95" s="43" t="s">
        <v>20</v>
      </c>
      <c r="D95" s="169" t="s">
        <v>54</v>
      </c>
      <c r="E95" s="211">
        <v>2400</v>
      </c>
      <c r="F95" s="190">
        <v>1200</v>
      </c>
      <c r="G95" s="45"/>
      <c r="H95" s="45"/>
      <c r="I95" s="45"/>
      <c r="J95" s="45"/>
      <c r="K95" s="45"/>
      <c r="L95" s="45"/>
      <c r="M95" s="45"/>
      <c r="N95" s="45"/>
      <c r="O95" s="44">
        <f>2400-(F95+I95+L95)</f>
        <v>1200</v>
      </c>
    </row>
    <row r="96" spans="1:15" x14ac:dyDescent="0.35">
      <c r="A96" s="14">
        <v>75</v>
      </c>
      <c r="B96" s="139" t="s">
        <v>349</v>
      </c>
      <c r="C96" s="43" t="s">
        <v>20</v>
      </c>
      <c r="D96" s="169" t="s">
        <v>54</v>
      </c>
      <c r="E96" s="211">
        <v>2400</v>
      </c>
      <c r="F96" s="190"/>
      <c r="G96" s="45"/>
      <c r="H96" s="45"/>
      <c r="I96" s="45"/>
      <c r="J96" s="45"/>
      <c r="K96" s="45"/>
      <c r="L96" s="45"/>
      <c r="M96" s="45"/>
      <c r="N96" s="45"/>
      <c r="O96" s="44">
        <f>2400-(F96+I96+L96)</f>
        <v>2400</v>
      </c>
    </row>
    <row r="97" spans="1:15" x14ac:dyDescent="0.35">
      <c r="A97" s="14">
        <v>76</v>
      </c>
      <c r="B97" s="139" t="s">
        <v>122</v>
      </c>
      <c r="C97" s="43" t="s">
        <v>22</v>
      </c>
      <c r="D97" s="169" t="s">
        <v>54</v>
      </c>
      <c r="E97" s="211">
        <v>2400</v>
      </c>
      <c r="F97" s="190">
        <v>1200</v>
      </c>
      <c r="G97" s="45"/>
      <c r="H97" s="45"/>
      <c r="I97" s="45"/>
      <c r="J97" s="45"/>
      <c r="K97" s="45"/>
      <c r="L97" s="45"/>
      <c r="M97" s="45"/>
      <c r="N97" s="45"/>
      <c r="O97" s="44">
        <v>1200</v>
      </c>
    </row>
    <row r="98" spans="1:15" x14ac:dyDescent="0.35">
      <c r="A98" s="14">
        <v>77</v>
      </c>
      <c r="B98" s="139" t="s">
        <v>242</v>
      </c>
      <c r="C98" s="43" t="s">
        <v>22</v>
      </c>
      <c r="D98" s="169" t="s">
        <v>54</v>
      </c>
      <c r="E98" s="211">
        <v>2400</v>
      </c>
      <c r="F98" s="190">
        <v>1200</v>
      </c>
      <c r="G98" s="45"/>
      <c r="H98" s="45"/>
      <c r="I98" s="44"/>
      <c r="J98" s="45"/>
      <c r="K98" s="45"/>
      <c r="L98" s="45"/>
      <c r="M98" s="45"/>
      <c r="N98" s="45"/>
      <c r="O98" s="44">
        <f>2400-(F98+I98+L98)</f>
        <v>1200</v>
      </c>
    </row>
    <row r="99" spans="1:15" x14ac:dyDescent="0.35">
      <c r="A99" s="14">
        <v>78</v>
      </c>
      <c r="B99" s="139" t="s">
        <v>350</v>
      </c>
      <c r="C99" s="43" t="s">
        <v>22</v>
      </c>
      <c r="D99" s="169" t="s">
        <v>54</v>
      </c>
      <c r="E99" s="211">
        <v>2160</v>
      </c>
      <c r="F99" s="190"/>
      <c r="G99" s="45"/>
      <c r="H99" s="45"/>
      <c r="I99" s="45"/>
      <c r="J99" s="45"/>
      <c r="K99" s="45"/>
      <c r="L99" s="45"/>
      <c r="M99" s="45"/>
      <c r="N99" s="45"/>
      <c r="O99" s="44">
        <f>2400-(F99+I99+L99)</f>
        <v>2400</v>
      </c>
    </row>
    <row r="100" spans="1:15" x14ac:dyDescent="0.35">
      <c r="A100" s="14">
        <v>79</v>
      </c>
      <c r="B100" s="139" t="s">
        <v>351</v>
      </c>
      <c r="C100" s="43" t="s">
        <v>22</v>
      </c>
      <c r="D100" s="169" t="s">
        <v>54</v>
      </c>
      <c r="E100" s="211">
        <v>2400</v>
      </c>
      <c r="F100" s="190">
        <v>1000</v>
      </c>
      <c r="G100" s="45"/>
      <c r="H100" s="45"/>
      <c r="I100" s="45"/>
      <c r="J100" s="45"/>
      <c r="K100" s="45"/>
      <c r="L100" s="45"/>
      <c r="M100" s="45"/>
      <c r="N100" s="45"/>
      <c r="O100" s="44">
        <f>2400-(F100+I100+L100)</f>
        <v>1400</v>
      </c>
    </row>
    <row r="101" spans="1:15" ht="15" thickBot="1" x14ac:dyDescent="0.4">
      <c r="A101" s="14">
        <v>80</v>
      </c>
      <c r="B101" s="139" t="s">
        <v>352</v>
      </c>
      <c r="C101" s="43" t="s">
        <v>22</v>
      </c>
      <c r="D101" s="169" t="s">
        <v>54</v>
      </c>
      <c r="E101" s="211">
        <v>2160</v>
      </c>
      <c r="F101" s="190">
        <v>1350</v>
      </c>
      <c r="G101" s="45"/>
      <c r="H101" s="45"/>
      <c r="I101" s="45"/>
      <c r="J101" s="45"/>
      <c r="K101" s="45"/>
      <c r="L101" s="45"/>
      <c r="M101" s="45"/>
      <c r="N101" s="45"/>
      <c r="O101" s="44">
        <f>2400-(F101+I101+L101)</f>
        <v>1050</v>
      </c>
    </row>
    <row r="102" spans="1:15" ht="15" thickBot="1" x14ac:dyDescent="0.4">
      <c r="A102" s="14"/>
      <c r="B102" s="49"/>
      <c r="C102" s="14"/>
      <c r="D102" s="17"/>
      <c r="E102" s="160"/>
      <c r="F102" s="232">
        <f>SUM(F93:F101)</f>
        <v>9450</v>
      </c>
      <c r="G102" s="49"/>
      <c r="H102" s="49"/>
      <c r="I102" s="14"/>
      <c r="J102" s="14"/>
      <c r="K102" s="14"/>
      <c r="L102" s="14"/>
      <c r="M102" s="17"/>
      <c r="N102" s="14"/>
      <c r="O102" s="233">
        <f>SUM(O93:O101)</f>
        <v>12150</v>
      </c>
    </row>
    <row r="103" spans="1:15" x14ac:dyDescent="0.35">
      <c r="A103" s="14"/>
      <c r="B103" s="49"/>
      <c r="C103" s="14"/>
      <c r="D103" s="17"/>
      <c r="E103" s="160"/>
      <c r="F103" s="203"/>
      <c r="G103" s="52"/>
      <c r="H103" s="52"/>
      <c r="I103" s="52"/>
      <c r="J103" s="52"/>
      <c r="K103" s="52"/>
      <c r="L103" s="52"/>
      <c r="M103" s="53"/>
      <c r="N103" s="14"/>
      <c r="O103" s="160"/>
    </row>
    <row r="104" spans="1:15" ht="15" thickBot="1" x14ac:dyDescent="0.4">
      <c r="A104" s="14"/>
      <c r="B104" s="260" t="s">
        <v>231</v>
      </c>
      <c r="C104" s="32"/>
      <c r="D104" s="179"/>
      <c r="E104" s="219">
        <f>SUM(E4:E103)</f>
        <v>190560</v>
      </c>
      <c r="F104" s="204">
        <f>F102+F91+F82+F76+F68+F54+F47+F31+F14+F5</f>
        <v>87470</v>
      </c>
      <c r="G104" s="234"/>
      <c r="H104" s="234"/>
      <c r="I104" s="235">
        <f>SUM(I4:I103)</f>
        <v>2000</v>
      </c>
      <c r="J104" s="205"/>
      <c r="K104" s="205"/>
      <c r="L104" s="219">
        <f>SUM(L4:L103)</f>
        <v>0</v>
      </c>
      <c r="M104" s="236"/>
      <c r="N104" s="234"/>
      <c r="O104" s="219">
        <f>O102+O91+O82+O76+O68+O54+O47+O31+O14+O5</f>
        <v>102290</v>
      </c>
    </row>
  </sheetData>
  <mergeCells count="7">
    <mergeCell ref="O2:O3"/>
    <mergeCell ref="B2:B3"/>
    <mergeCell ref="C2:C3"/>
    <mergeCell ref="D2:D3"/>
    <mergeCell ref="F2:G2"/>
    <mergeCell ref="I2:J2"/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THIRD TERM 2025</vt:lpstr>
      <vt:lpstr>TERM 1 2026 OTHER FEES</vt:lpstr>
      <vt:lpstr>TERM 1 2026</vt:lpstr>
      <vt:lpstr>OWING TERM 3 2025</vt:lpstr>
      <vt:lpstr>OWING TERM 1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BIINE STORE</dc:creator>
  <cp:lastModifiedBy>Bramuels Mwiinga</cp:lastModifiedBy>
  <cp:lastPrinted>2026-02-19T14:05:47Z</cp:lastPrinted>
  <dcterms:created xsi:type="dcterms:W3CDTF">2025-09-16T12:20:33Z</dcterms:created>
  <dcterms:modified xsi:type="dcterms:W3CDTF">2026-03-20T11:14:26Z</dcterms:modified>
</cp:coreProperties>
</file>